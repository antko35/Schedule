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date</author>
    <author>employeeId</author>
  </authors>
  <commentList>
    <comment ref="A9" authorId="1">
      <text>
        <r>
          <rPr>
            <sz val="10"/>
            <rFont val="Arial"/>
            <family val="2"/>
            <charset val="204"/>
          </rPr>
          <t xml:space="preserve">5dc5c9b5-78ae-455e-8ece-808763255e03</t>
        </r>
      </text>
    </comment>
    <comment ref="A12" authorId="1">
      <text>
        <r>
          <rPr>
            <sz val="10"/>
            <rFont val="Arial"/>
            <family val="2"/>
            <charset val="204"/>
          </rPr>
          <t xml:space="preserve">0fea804b-3e8c-4bfb-bf4d-addbe5612b24</t>
        </r>
      </text>
    </comment>
    <comment ref="A13" authorId="1">
      <text>
        <r>
          <rPr>
            <sz val="10"/>
            <rFont val="Arial"/>
            <family val="2"/>
            <charset val="204"/>
          </rPr>
          <t xml:space="preserve">e704f20f-6392-4e94-9837-40c071946b1e</t>
        </r>
      </text>
    </comment>
    <comment ref="A16" authorId="1">
      <text>
        <r>
          <rPr>
            <sz val="10"/>
            <rFont val="Arial"/>
            <family val="2"/>
            <charset val="204"/>
          </rPr>
          <t xml:space="preserve">d3b729c1-649e-4215-ae3a-4fd8ec9a0043</t>
        </r>
      </text>
    </comment>
    <comment ref="A19" authorId="1">
      <text>
        <r>
          <rPr>
            <sz val="10"/>
            <rFont val="Arial"/>
            <family val="2"/>
            <charset val="204"/>
          </rPr>
          <t xml:space="preserve">c2bc3cce-a7cc-40bf-a650-32fe90fd9166</t>
        </r>
      </text>
    </comment>
    <comment ref="A22" authorId="1">
      <text>
        <r>
          <rPr>
            <sz val="10"/>
            <rFont val="Arial"/>
            <family val="2"/>
            <charset val="204"/>
          </rPr>
          <t xml:space="preserve">2f0b20b3-a18c-4f30-85c5-fe1a6488644d</t>
        </r>
      </text>
    </comment>
    <comment ref="A25" authorId="1">
      <text>
        <r>
          <rPr>
            <sz val="10"/>
            <rFont val="Arial"/>
            <family val="2"/>
            <charset val="204"/>
          </rPr>
          <t xml:space="preserve">8b4968cd-1507-4d54-b777-1e4148332587</t>
        </r>
      </text>
    </comment>
    <comment ref="B8" authorId="0">
      <text>
        <r>
          <rPr>
            <sz val="10"/>
            <rFont val="Arial"/>
            <family val="2"/>
            <charset val="204"/>
          </rPr>
          <t xml:space="preserve">01.01.2025</t>
        </r>
      </text>
    </comment>
    <comment ref="C8" authorId="0">
      <text>
        <r>
          <rPr>
            <sz val="10"/>
            <rFont val="Arial"/>
            <family val="2"/>
            <charset val="204"/>
          </rPr>
          <t xml:space="preserve">02.01.2025</t>
        </r>
      </text>
    </comment>
    <comment ref="D8" authorId="0">
      <text>
        <r>
          <rPr>
            <sz val="10"/>
            <rFont val="Arial"/>
            <family val="2"/>
            <charset val="204"/>
          </rPr>
          <t xml:space="preserve">03.01.2025</t>
        </r>
      </text>
    </comment>
    <comment ref="E8" authorId="0">
      <text>
        <r>
          <rPr>
            <sz val="10"/>
            <rFont val="Arial"/>
            <family val="2"/>
            <charset val="204"/>
          </rPr>
          <t xml:space="preserve">04.01.2025</t>
        </r>
      </text>
    </comment>
    <comment ref="F8" authorId="0">
      <text>
        <r>
          <rPr>
            <sz val="10"/>
            <rFont val="Arial"/>
            <family val="2"/>
            <charset val="204"/>
          </rPr>
          <t xml:space="preserve">05.01.2025</t>
        </r>
      </text>
    </comment>
    <comment ref="G8" authorId="0">
      <text>
        <r>
          <rPr>
            <sz val="10"/>
            <rFont val="Arial"/>
            <family val="2"/>
            <charset val="204"/>
          </rPr>
          <t xml:space="preserve">06.01.2025</t>
        </r>
      </text>
    </comment>
    <comment ref="H8" authorId="0">
      <text>
        <r>
          <rPr>
            <sz val="10"/>
            <rFont val="Arial"/>
            <family val="2"/>
            <charset val="204"/>
          </rPr>
          <t xml:space="preserve">07.01.2025</t>
        </r>
      </text>
    </comment>
    <comment ref="I8" authorId="0">
      <text>
        <r>
          <rPr>
            <sz val="10"/>
            <rFont val="Arial"/>
            <family val="2"/>
            <charset val="204"/>
          </rPr>
          <t xml:space="preserve">08.01.2025</t>
        </r>
      </text>
    </comment>
    <comment ref="J8" authorId="0">
      <text>
        <r>
          <rPr>
            <sz val="10"/>
            <rFont val="Arial"/>
            <family val="2"/>
            <charset val="204"/>
          </rPr>
          <t xml:space="preserve">09.01.2025</t>
        </r>
      </text>
    </comment>
    <comment ref="K8" authorId="0">
      <text>
        <r>
          <rPr>
            <sz val="10"/>
            <rFont val="Arial"/>
            <family val="2"/>
            <charset val="204"/>
          </rPr>
          <t xml:space="preserve">10.01.2025</t>
        </r>
      </text>
    </comment>
    <comment ref="L8" authorId="0">
      <text>
        <r>
          <rPr>
            <sz val="10"/>
            <rFont val="Arial"/>
            <family val="2"/>
            <charset val="204"/>
          </rPr>
          <t xml:space="preserve">11.01.2025</t>
        </r>
      </text>
    </comment>
    <comment ref="M8" authorId="0">
      <text>
        <r>
          <rPr>
            <sz val="10"/>
            <rFont val="Arial"/>
            <family val="2"/>
            <charset val="204"/>
          </rPr>
          <t xml:space="preserve">12.01.2025</t>
        </r>
      </text>
    </comment>
    <comment ref="N8" authorId="0">
      <text>
        <r>
          <rPr>
            <sz val="10"/>
            <rFont val="Arial"/>
            <family val="2"/>
            <charset val="204"/>
          </rPr>
          <t xml:space="preserve">13.01.2025</t>
        </r>
      </text>
    </comment>
    <comment ref="O8" authorId="0">
      <text>
        <r>
          <rPr>
            <sz val="10"/>
            <rFont val="Arial"/>
            <family val="2"/>
            <charset val="204"/>
          </rPr>
          <t xml:space="preserve">14.01.2025</t>
        </r>
      </text>
    </comment>
    <comment ref="P8" authorId="0">
      <text>
        <r>
          <rPr>
            <sz val="10"/>
            <rFont val="Arial"/>
            <family val="2"/>
            <charset val="204"/>
          </rPr>
          <t xml:space="preserve">15.01.2025</t>
        </r>
      </text>
    </comment>
    <comment ref="Q8" authorId="0">
      <text>
        <r>
          <rPr>
            <sz val="10"/>
            <rFont val="Arial"/>
            <family val="2"/>
            <charset val="204"/>
          </rPr>
          <t xml:space="preserve">16.01.2025</t>
        </r>
      </text>
    </comment>
    <comment ref="R8" authorId="0">
      <text>
        <r>
          <rPr>
            <sz val="10"/>
            <rFont val="Arial"/>
            <family val="2"/>
            <charset val="204"/>
          </rPr>
          <t xml:space="preserve">17.01.2025</t>
        </r>
      </text>
    </comment>
    <comment ref="S8" authorId="0">
      <text>
        <r>
          <rPr>
            <sz val="10"/>
            <rFont val="Arial"/>
            <family val="2"/>
            <charset val="204"/>
          </rPr>
          <t xml:space="preserve">18.01.2025</t>
        </r>
      </text>
    </comment>
    <comment ref="T8" authorId="0">
      <text>
        <r>
          <rPr>
            <sz val="10"/>
            <rFont val="Arial"/>
            <family val="2"/>
            <charset val="204"/>
          </rPr>
          <t xml:space="preserve">19.01.2025</t>
        </r>
      </text>
    </comment>
    <comment ref="U8" authorId="0">
      <text>
        <r>
          <rPr>
            <sz val="10"/>
            <rFont val="Arial"/>
            <family val="2"/>
            <charset val="204"/>
          </rPr>
          <t xml:space="preserve">20.01.2025</t>
        </r>
      </text>
    </comment>
    <comment ref="V8" authorId="0">
      <text>
        <r>
          <rPr>
            <sz val="10"/>
            <rFont val="Arial"/>
            <family val="2"/>
            <charset val="204"/>
          </rPr>
          <t xml:space="preserve">21.01.2025</t>
        </r>
      </text>
    </comment>
    <comment ref="W8" authorId="0">
      <text>
        <r>
          <rPr>
            <sz val="10"/>
            <rFont val="Arial"/>
            <family val="2"/>
            <charset val="204"/>
          </rPr>
          <t xml:space="preserve">22.01.2025</t>
        </r>
      </text>
    </comment>
    <comment ref="X8" authorId="0">
      <text>
        <r>
          <rPr>
            <sz val="10"/>
            <rFont val="Arial"/>
            <family val="2"/>
            <charset val="204"/>
          </rPr>
          <t xml:space="preserve">23.01.2025</t>
        </r>
      </text>
    </comment>
    <comment ref="Y8" authorId="0">
      <text>
        <r>
          <rPr>
            <sz val="10"/>
            <rFont val="Arial"/>
            <family val="2"/>
            <charset val="204"/>
          </rPr>
          <t xml:space="preserve">24.01.2025</t>
        </r>
      </text>
    </comment>
    <comment ref="Z8" authorId="0">
      <text>
        <r>
          <rPr>
            <sz val="10"/>
            <rFont val="Arial"/>
            <family val="2"/>
            <charset val="204"/>
          </rPr>
          <t xml:space="preserve">25.01.2025</t>
        </r>
      </text>
    </comment>
    <comment ref="AA8" authorId="0">
      <text>
        <r>
          <rPr>
            <sz val="10"/>
            <rFont val="Arial"/>
            <family val="2"/>
            <charset val="204"/>
          </rPr>
          <t xml:space="preserve">26.01.2025</t>
        </r>
      </text>
    </comment>
    <comment ref="AB8" authorId="0">
      <text>
        <r>
          <rPr>
            <sz val="10"/>
            <rFont val="Arial"/>
            <family val="2"/>
            <charset val="204"/>
          </rPr>
          <t xml:space="preserve">27.01.2025</t>
        </r>
      </text>
    </comment>
    <comment ref="AC8" authorId="0">
      <text>
        <r>
          <rPr>
            <sz val="10"/>
            <rFont val="Arial"/>
            <family val="2"/>
            <charset val="204"/>
          </rPr>
          <t xml:space="preserve">28.01.2025</t>
        </r>
      </text>
    </comment>
    <comment ref="AD8" authorId="0">
      <text>
        <r>
          <rPr>
            <sz val="10"/>
            <rFont val="Arial"/>
            <family val="2"/>
            <charset val="204"/>
          </rPr>
          <t xml:space="preserve">29.01.2025</t>
        </r>
      </text>
    </comment>
    <comment ref="AE8" authorId="0">
      <text>
        <r>
          <rPr>
            <sz val="10"/>
            <rFont val="Arial"/>
            <family val="2"/>
            <charset val="204"/>
          </rPr>
          <t xml:space="preserve">30.01.2025</t>
        </r>
      </text>
    </comment>
    <comment ref="AF8" authorId="0">
      <text>
        <r>
          <rPr>
            <sz val="10"/>
            <rFont val="Arial"/>
            <family val="2"/>
            <charset val="204"/>
          </rPr>
          <t xml:space="preserve">31.01.2025</t>
        </r>
      </text>
    </comment>
  </commentList>
</comments>
</file>

<file path=xl/sharedStrings.xml><?xml version="1.0" encoding="utf-8"?>
<sst xmlns="http://schemas.openxmlformats.org/spreadsheetml/2006/main" count="80" uniqueCount="50">
  <si>
    <t xml:space="preserve">Государственное учреждение </t>
  </si>
  <si>
    <t xml:space="preserve">УТВЕРЖДАЮ</t>
  </si>
  <si>
    <t xml:space="preserve">Республиканский центр медицинской реабилитации и бальнеолечения</t>
  </si>
  <si>
    <t xml:space="preserve">Заместитель главного врача по курации </t>
  </si>
  <si>
    <t xml:space="preserve">График работы на август  2025</t>
  </si>
  <si>
    <t xml:space="preserve">Дрозд И. С. </t>
  </si>
  <si>
    <t xml:space="preserve">Стоматологического отделения </t>
  </si>
  <si>
    <t xml:space="preserve">15  июня  2025 г.</t>
  </si>
  <si>
    <t xml:space="preserve">пт</t>
  </si>
  <si>
    <t xml:space="preserve">сб</t>
  </si>
  <si>
    <t xml:space="preserve">вс</t>
  </si>
  <si>
    <t xml:space="preserve">пн</t>
  </si>
  <si>
    <t xml:space="preserve">вт</t>
  </si>
  <si>
    <t xml:space="preserve">ср</t>
  </si>
  <si>
    <t xml:space="preserve">чт</t>
  </si>
  <si>
    <t xml:space="preserve">Сотрудник</t>
  </si>
  <si>
    <t xml:space="preserve">Дней</t>
  </si>
  <si>
    <t xml:space="preserve">Часов</t>
  </si>
  <si>
    <t xml:space="preserve">Бондаренко Елена Николаевна</t>
  </si>
  <si>
    <t xml:space="preserve">Врач-стоматолог-терапевт</t>
  </si>
  <si>
    <t xml:space="preserve">1.0 ст. </t>
  </si>
  <si>
    <t xml:space="preserve">Денисова Полина Александровна</t>
  </si>
  <si>
    <t xml:space="preserve">Задоля Лилия Александровна</t>
  </si>
  <si>
    <t xml:space="preserve">Санитарка</t>
  </si>
  <si>
    <t xml:space="preserve">1.0ст. </t>
  </si>
  <si>
    <t xml:space="preserve">Ковшер Олег Николаевич</t>
  </si>
  <si>
    <t xml:space="preserve">врач-стоматолог-терапевт( заведующий)</t>
  </si>
  <si>
    <t xml:space="preserve">1.0 ст.</t>
  </si>
  <si>
    <t xml:space="preserve">Лидяева Инна Станиславовна </t>
  </si>
  <si>
    <t xml:space="preserve">медицинская сестра </t>
  </si>
  <si>
    <t xml:space="preserve">Протопович Мария Казимировна</t>
  </si>
  <si>
    <t xml:space="preserve">0,75 ст.</t>
  </si>
  <si>
    <t xml:space="preserve">Сафроненко Марина Анатольевна</t>
  </si>
  <si>
    <t xml:space="preserve">Ковшер Вероника Игоревна</t>
  </si>
  <si>
    <t xml:space="preserve">0,4 ст.</t>
  </si>
  <si>
    <t xml:space="preserve">Кособуцкий Алексей Николаевич</t>
  </si>
  <si>
    <t xml:space="preserve">Врач-стоматолог-хирург</t>
  </si>
  <si>
    <t xml:space="preserve">0,2 ст</t>
  </si>
  <si>
    <t xml:space="preserve">Перерыв для отдыха и питания предоставляется в течение рабочего дня продолжительностью не менее 20 минут  и в ключается в рабочее  время </t>
  </si>
  <si>
    <t xml:space="preserve">График составил : медицинская сестра </t>
  </si>
  <si>
    <t xml:space="preserve">И.С. Лидяева</t>
  </si>
  <si>
    <t xml:space="preserve">Врач-стоматолог-терапевт ( заведующий)</t>
  </si>
  <si>
    <t xml:space="preserve">О.Н. Ковшер </t>
  </si>
  <si>
    <t xml:space="preserve">Проверил : </t>
  </si>
  <si>
    <t xml:space="preserve">Ведущий  Экономист ПЭО </t>
  </si>
  <si>
    <t xml:space="preserve">И.А. Горшунова </t>
  </si>
  <si>
    <t xml:space="preserve">СОГЛАСОВАНО </t>
  </si>
  <si>
    <t xml:space="preserve">Председатель профсоюзного комитета </t>
  </si>
  <si>
    <t xml:space="preserve">И.А.Груша</t>
  </si>
  <si>
    <t xml:space="preserve">___ ___________2025г.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</si>
</sst>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h]:mm;@"/>
    <numFmt numFmtId="166" formatCode="####0.0#"/>
    <numFmt numFmtId="167" formatCode="h:mm"/>
  </numFmts>
  <fonts count="16">
    <font>
      <sz val="5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6"/>
      <name val="Arial"/>
      <family val="0"/>
      <charset val="1"/>
    </font>
    <font>
      <sz val="8"/>
      <name val="Arial"/>
      <family val="0"/>
      <charset val="1"/>
    </font>
    <font>
      <sz val="5"/>
      <name val="Arial"/>
      <family val="0"/>
      <charset val="1"/>
    </font>
    <font>
      <b val="true"/>
      <sz val="5"/>
      <name val="Arial"/>
      <family val="0"/>
      <charset val="1"/>
    </font>
    <font>
      <i val="true"/>
      <sz val="5"/>
      <color rgb="FF737373"/>
      <name val="Arial"/>
      <family val="0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selection pane="topLeft" activeCell="T42" activeCellId="0" sqref="T42"/>
    </sheetView>
  </sheetViews>
  <sheetFormatPr defaultColWidth="9.4765625" defaultRowHeight="7.5" customHeight="true" zeroHeight="false" outlineLevelRow="0" outlineLevelCol="0"/>
  <cols>
    <col collapsed="false" customWidth="true" hidden="false" outlineLevel="0" max="1" min="1" style="1" width="25.51"/>
    <col collapsed="false" customWidth="true" hidden="false" outlineLevel="0" max="30" min="2" style="1" width="8.53"/>
    <col collapsed="false" customWidth="true" hidden="false" outlineLevel="0" max="31" min="31" style="1" width="7.31"/>
    <col collapsed="false" customWidth="true" hidden="false" outlineLevel="0" max="32" min="32" style="1" width="7.06"/>
    <col collapsed="false" customWidth="true" hidden="false" outlineLevel="0" max="33" min="33" style="1" width="7.8"/>
    <col collapsed="false" customWidth="true" hidden="false" outlineLevel="0" max="34" min="34" style="1" width="12.61"/>
  </cols>
  <sheetData>
    <row r="1" customFormat="false" ht="6" hidden="false" customHeight="true" outlineLevel="0" collapsed="false"/>
    <row r="2" customFormat="false" ht="18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AB2" s="3" t="s">
        <v>1</v>
      </c>
      <c r="AC2" s="3"/>
      <c r="AD2" s="3"/>
      <c r="AE2" s="3"/>
      <c r="AF2" s="3"/>
      <c r="AG2" s="3"/>
      <c r="AH2" s="3"/>
    </row>
    <row r="3" customFormat="false" ht="14.2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AB3" s="4" t="s">
        <v>3</v>
      </c>
      <c r="AC3" s="4"/>
      <c r="AD3" s="4"/>
      <c r="AE3" s="4"/>
      <c r="AF3" s="4"/>
      <c r="AG3" s="4"/>
      <c r="AH3" s="4"/>
    </row>
    <row r="4" customFormat="false" ht="15.75" hidden="false" customHeight="tru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AB4" s="6" t="s">
        <v>5</v>
      </c>
      <c r="AC4" s="6"/>
      <c r="AD4" s="6"/>
      <c r="AE4" s="6"/>
      <c r="AF4" s="6"/>
      <c r="AG4" s="6"/>
      <c r="AH4" s="6"/>
    </row>
    <row r="5" customFormat="false" ht="17.25" hidden="false" customHeight="true" outlineLevel="0" collapsed="false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AB5" s="7" t="s">
        <v>7</v>
      </c>
      <c r="AC5" s="7"/>
      <c r="AD5" s="7"/>
      <c r="AE5" s="7"/>
      <c r="AF5" s="7"/>
      <c r="AG5" s="7"/>
      <c r="AH5" s="7"/>
    </row>
    <row r="6" customFormat="false" ht="15" hidden="false" customHeight="true" outlineLevel="0" collapsed="false"/>
    <row r="7" customFormat="false" ht="9" hidden="false" customHeight="true" outlineLevel="0" collapsed="false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12</v>
      </c>
      <c r="N7" s="8" t="s">
        <v>13</v>
      </c>
      <c r="O7" s="8" t="s">
        <v>14</v>
      </c>
      <c r="P7" s="8" t="s">
        <v>8</v>
      </c>
      <c r="Q7" s="8" t="s">
        <v>9</v>
      </c>
      <c r="R7" s="8" t="s">
        <v>10</v>
      </c>
      <c r="S7" s="8" t="s">
        <v>11</v>
      </c>
      <c r="T7" s="8" t="s">
        <v>12</v>
      </c>
      <c r="U7" s="8" t="s">
        <v>13</v>
      </c>
      <c r="V7" s="8" t="s">
        <v>14</v>
      </c>
      <c r="W7" s="8" t="s">
        <v>8</v>
      </c>
      <c r="X7" s="8" t="s">
        <v>9</v>
      </c>
      <c r="Y7" s="8" t="s">
        <v>10</v>
      </c>
      <c r="Z7" s="8" t="s">
        <v>11</v>
      </c>
      <c r="AA7" s="8" t="s">
        <v>12</v>
      </c>
      <c r="AB7" s="8" t="s">
        <v>13</v>
      </c>
      <c r="AC7" s="8" t="s">
        <v>14</v>
      </c>
      <c r="AD7" s="8" t="s">
        <v>8</v>
      </c>
      <c r="AE7" s="8" t="s">
        <v>9</v>
      </c>
      <c r="AF7" s="8" t="s">
        <v>10</v>
      </c>
    </row>
    <row r="8" customFormat="false" ht="9.75" hidden="false" customHeight="true" outlineLevel="0" collapsed="false">
      <c r="A8" s="9" t="s">
        <v>15</v>
      </c>
      <c r="B8" s="10" t="n">
        <v>1</v>
      </c>
      <c r="C8" s="10" t="n">
        <v>2</v>
      </c>
      <c r="D8" s="10" t="n">
        <v>3</v>
      </c>
      <c r="E8" s="10" t="n">
        <v>4</v>
      </c>
      <c r="F8" s="10" t="n">
        <v>5</v>
      </c>
      <c r="G8" s="10" t="n">
        <v>6</v>
      </c>
      <c r="H8" s="10" t="n">
        <v>7</v>
      </c>
      <c r="I8" s="10" t="n">
        <v>8</v>
      </c>
      <c r="J8" s="10" t="n">
        <v>9</v>
      </c>
      <c r="K8" s="10" t="n">
        <v>10</v>
      </c>
      <c r="L8" s="10" t="n">
        <v>11</v>
      </c>
      <c r="M8" s="10" t="n">
        <v>12</v>
      </c>
      <c r="N8" s="10" t="n">
        <v>13</v>
      </c>
      <c r="O8" s="10" t="n">
        <v>14</v>
      </c>
      <c r="P8" s="10" t="n">
        <v>15</v>
      </c>
      <c r="Q8" s="10" t="n">
        <v>16</v>
      </c>
      <c r="R8" s="10" t="n">
        <v>17</v>
      </c>
      <c r="S8" s="10" t="n">
        <v>18</v>
      </c>
      <c r="T8" s="10" t="n">
        <v>19</v>
      </c>
      <c r="U8" s="10" t="n">
        <v>20</v>
      </c>
      <c r="V8" s="10" t="n">
        <v>21</v>
      </c>
      <c r="W8" s="10" t="n">
        <v>22</v>
      </c>
      <c r="X8" s="10" t="n">
        <v>23</v>
      </c>
      <c r="Y8" s="10" t="n">
        <v>24</v>
      </c>
      <c r="Z8" s="10" t="n">
        <v>25</v>
      </c>
      <c r="AA8" s="10" t="n">
        <v>26</v>
      </c>
      <c r="AB8" s="10" t="n">
        <v>27</v>
      </c>
      <c r="AC8" s="10" t="n">
        <v>28</v>
      </c>
      <c r="AD8" s="10" t="n">
        <v>29</v>
      </c>
      <c r="AE8" s="10" t="n">
        <v>30</v>
      </c>
      <c r="AF8" s="10" t="n">
        <v>31</v>
      </c>
      <c r="AG8" s="9" t="s">
        <v>16</v>
      </c>
      <c r="AH8" s="9" t="s">
        <v>17</v>
      </c>
    </row>
    <row r="9" customFormat="false" ht="15" hidden="false" customHeight="true" outlineLevel="0" collapsed="false">
      <c r="A9" s="11" t="s">
        <v>18</v>
      </c>
      <c r="B9" s="12" t="n">
        <f aca="false">(B11-B10)</f>
        <v>0.25</v>
      </c>
      <c r="C9" s="12" t="n">
        <f aca="false">(C11-C10)</f>
        <v>0.208333333333333</v>
      </c>
      <c r="D9" s="12" t="n">
        <f aca="false">(D11-D10)</f>
        <v>0</v>
      </c>
      <c r="E9" s="12" t="n">
        <f aca="false">(E11-E10)</f>
        <v>0.25</v>
      </c>
      <c r="F9" s="12" t="n">
        <f aca="false">(F11-F10)</f>
        <v>0.270833333333333</v>
      </c>
      <c r="G9" s="12" t="n">
        <f aca="false">(G11-G10)</f>
        <v>0.270833333333333</v>
      </c>
      <c r="H9" s="12" t="n">
        <f aca="false">(H11-H10)</f>
        <v>0.270833333333333</v>
      </c>
      <c r="I9" s="12" t="n">
        <f aca="false">(I11-I10)</f>
        <v>0.275</v>
      </c>
      <c r="J9" s="12" t="n">
        <f aca="false">(J11-J10)</f>
        <v>0</v>
      </c>
      <c r="K9" s="12" t="n">
        <f aca="false">(K11-K10)</f>
        <v>0</v>
      </c>
      <c r="L9" s="12" t="n">
        <f aca="false">(L11-L10)</f>
        <v>0.270833333333333</v>
      </c>
      <c r="M9" s="12" t="n">
        <f aca="false">(M11-M10)</f>
        <v>0.270833333333333</v>
      </c>
      <c r="N9" s="12" t="n">
        <f aca="false">(N11-N10)</f>
        <v>0.270833333333333</v>
      </c>
      <c r="O9" s="12" t="n">
        <f aca="false">(O11-O10)</f>
        <v>0.270833333333333</v>
      </c>
      <c r="P9" s="12" t="n">
        <f aca="false">(P11-P10)</f>
        <v>0.25</v>
      </c>
      <c r="Q9" s="12" t="n">
        <f aca="false">(Q11-Q10)</f>
        <v>0</v>
      </c>
      <c r="R9" s="12" t="n">
        <f aca="false">(R11-R10)</f>
        <v>0</v>
      </c>
      <c r="S9" s="12" t="n">
        <f aca="false">(S11-S10)</f>
        <v>0.25</v>
      </c>
      <c r="T9" s="12" t="n">
        <f aca="false">(T11-T10)</f>
        <v>0.270833333333333</v>
      </c>
      <c r="U9" s="12" t="n">
        <f aca="false">(U11-U10)</f>
        <v>0.270833333333333</v>
      </c>
      <c r="V9" s="12" t="n">
        <f aca="false">(V11-V10)</f>
        <v>0.270833333333333</v>
      </c>
      <c r="W9" s="12" t="n">
        <f aca="false">(W11-W10)</f>
        <v>0.25</v>
      </c>
      <c r="X9" s="12" t="n">
        <f aca="false">(X11-X10)</f>
        <v>0</v>
      </c>
      <c r="Y9" s="12" t="n">
        <f aca="false">(Y11-Y10)</f>
        <v>0</v>
      </c>
      <c r="Z9" s="12" t="n">
        <f aca="false">(Z11-Z10)</f>
        <v>0.270833333333333</v>
      </c>
      <c r="AA9" s="12" t="n">
        <f aca="false">(AA11-AA10)</f>
        <v>0.270833333333333</v>
      </c>
      <c r="AB9" s="12" t="n">
        <f aca="false">(AB11-AB10)</f>
        <v>0.270833333333333</v>
      </c>
      <c r="AC9" s="12" t="n">
        <f aca="false">(AC11-AC10)</f>
        <v>0.270833333333333</v>
      </c>
      <c r="AD9" s="12" t="n">
        <f aca="false">(AD11-AD10)</f>
        <v>0.25</v>
      </c>
      <c r="AE9" s="12" t="n">
        <f aca="false">(AE11-AE10)</f>
        <v>0</v>
      </c>
      <c r="AF9" s="12" t="n">
        <f aca="false">(AF11-AF10)</f>
        <v>0</v>
      </c>
      <c r="AG9" s="13" t="n">
        <f aca="false">COUNTIF(B9:AF9,"&gt;0")</f>
        <v>22</v>
      </c>
      <c r="AH9" s="14" t="n">
        <v>138.36</v>
      </c>
    </row>
    <row r="10" customFormat="false" ht="15" hidden="false" customHeight="true" outlineLevel="0" collapsed="false">
      <c r="A10" s="15" t="s">
        <v>19</v>
      </c>
      <c r="B10" s="16" t="n">
        <v>0.333333333333333</v>
      </c>
      <c r="C10" s="16" t="n">
        <v>0.375</v>
      </c>
      <c r="D10" s="16"/>
      <c r="E10" s="16" t="n">
        <v>0.333333333333333</v>
      </c>
      <c r="F10" s="16" t="n">
        <v>0.5625</v>
      </c>
      <c r="G10" s="16" t="n">
        <v>0.333333333333333</v>
      </c>
      <c r="H10" s="16" t="n">
        <v>0.5625</v>
      </c>
      <c r="I10" s="16" t="n">
        <v>0.333333333333333</v>
      </c>
      <c r="J10" s="16"/>
      <c r="K10" s="16"/>
      <c r="L10" s="16" t="n">
        <v>0.5625</v>
      </c>
      <c r="M10" s="16" t="n">
        <v>0.333333333333333</v>
      </c>
      <c r="N10" s="16" t="n">
        <v>0.5625</v>
      </c>
      <c r="O10" s="16" t="n">
        <v>0.333333333333333</v>
      </c>
      <c r="P10" s="16" t="n">
        <v>0.333333333333333</v>
      </c>
      <c r="Q10" s="16"/>
      <c r="R10" s="16"/>
      <c r="S10" s="16" t="n">
        <v>0.333333333333333</v>
      </c>
      <c r="T10" s="16" t="n">
        <v>0.5625</v>
      </c>
      <c r="U10" s="16" t="n">
        <v>0.333333333333333</v>
      </c>
      <c r="V10" s="16" t="n">
        <v>0.5625</v>
      </c>
      <c r="W10" s="16" t="n">
        <v>0.333333333333333</v>
      </c>
      <c r="X10" s="16"/>
      <c r="Y10" s="16"/>
      <c r="Z10" s="16" t="n">
        <v>0.5625</v>
      </c>
      <c r="AA10" s="16" t="n">
        <v>0.333333333333333</v>
      </c>
      <c r="AB10" s="16" t="n">
        <v>0.5625</v>
      </c>
      <c r="AC10" s="16" t="n">
        <v>0.333333333333333</v>
      </c>
      <c r="AD10" s="16" t="n">
        <v>0.333333333333333</v>
      </c>
      <c r="AE10" s="16"/>
      <c r="AF10" s="16"/>
      <c r="AG10" s="13"/>
      <c r="AH10" s="13"/>
    </row>
    <row r="11" customFormat="false" ht="13.65" hidden="false" customHeight="true" outlineLevel="0" collapsed="false">
      <c r="A11" s="17" t="s">
        <v>20</v>
      </c>
      <c r="B11" s="18" t="n">
        <v>0.583333333333333</v>
      </c>
      <c r="C11" s="18" t="n">
        <v>0.583333333333333</v>
      </c>
      <c r="D11" s="18"/>
      <c r="E11" s="18" t="n">
        <v>0.583333333333333</v>
      </c>
      <c r="F11" s="18" t="n">
        <v>0.833333333333333</v>
      </c>
      <c r="G11" s="18" t="n">
        <v>0.604166666666667</v>
      </c>
      <c r="H11" s="18" t="n">
        <v>0.833333333333333</v>
      </c>
      <c r="I11" s="18" t="n">
        <v>0.608333333333333</v>
      </c>
      <c r="J11" s="18"/>
      <c r="K11" s="18"/>
      <c r="L11" s="18" t="n">
        <v>0.833333333333333</v>
      </c>
      <c r="M11" s="18" t="n">
        <v>0.604166666666667</v>
      </c>
      <c r="N11" s="18" t="n">
        <v>0.833333333333333</v>
      </c>
      <c r="O11" s="18" t="n">
        <v>0.604166666666667</v>
      </c>
      <c r="P11" s="18" t="n">
        <v>0.583333333333333</v>
      </c>
      <c r="Q11" s="18"/>
      <c r="R11" s="18"/>
      <c r="S11" s="18" t="n">
        <v>0.583333333333333</v>
      </c>
      <c r="T11" s="18" t="n">
        <v>0.833333333333333</v>
      </c>
      <c r="U11" s="18" t="n">
        <v>0.604166666666667</v>
      </c>
      <c r="V11" s="18" t="n">
        <v>0.833333333333333</v>
      </c>
      <c r="W11" s="18" t="n">
        <v>0.583333333333333</v>
      </c>
      <c r="X11" s="18"/>
      <c r="Y11" s="18"/>
      <c r="Z11" s="18" t="n">
        <v>0.833333333333333</v>
      </c>
      <c r="AA11" s="18" t="n">
        <v>0.604166666666667</v>
      </c>
      <c r="AB11" s="18" t="n">
        <v>0.833333333333333</v>
      </c>
      <c r="AC11" s="18" t="n">
        <v>0.604166666666667</v>
      </c>
      <c r="AD11" s="18" t="n">
        <v>0.583333333333333</v>
      </c>
      <c r="AE11" s="18"/>
      <c r="AF11" s="18"/>
      <c r="AG11" s="13"/>
      <c r="AH11" s="13"/>
    </row>
    <row r="12" customFormat="false" ht="24.25" hidden="false" customHeight="true" outlineLevel="0" collapsed="false">
      <c r="A12" s="11" t="s">
        <v>21</v>
      </c>
      <c r="B12" s="12" t="e">
        <f aca="false">(#REF!-#REF!)</f>
        <v>#REF!</v>
      </c>
      <c r="C12" s="12" t="e">
        <f aca="false">(#REF!-#REF!)</f>
        <v>#REF!</v>
      </c>
      <c r="D12" s="12" t="e">
        <f aca="false">(#REF!-#REF!)</f>
        <v>#REF!</v>
      </c>
      <c r="E12" s="12" t="e">
        <f aca="false">(#REF!-#REF!)</f>
        <v>#REF!</v>
      </c>
      <c r="F12" s="12" t="e">
        <f aca="false">(#REF!-#REF!)</f>
        <v>#REF!</v>
      </c>
      <c r="G12" s="12" t="e">
        <f aca="false">(#REF!-#REF!)</f>
        <v>#REF!</v>
      </c>
      <c r="H12" s="12" t="e">
        <f aca="false">(#REF!-#REF!)</f>
        <v>#REF!</v>
      </c>
      <c r="I12" s="12" t="e">
        <f aca="false">(#REF!-#REF!)</f>
        <v>#REF!</v>
      </c>
      <c r="J12" s="12" t="e">
        <f aca="false">(#REF!-#REF!)</f>
        <v>#REF!</v>
      </c>
      <c r="K12" s="12" t="e">
        <f aca="false">(#REF!-#REF!)</f>
        <v>#REF!</v>
      </c>
      <c r="L12" s="12" t="e">
        <f aca="false">(#REF!-#REF!)</f>
        <v>#REF!</v>
      </c>
      <c r="M12" s="12" t="e">
        <f aca="false">(#REF!-#REF!)</f>
        <v>#REF!</v>
      </c>
      <c r="N12" s="12" t="e">
        <f aca="false">(#REF!-#REF!)</f>
        <v>#REF!</v>
      </c>
      <c r="O12" s="12" t="e">
        <f aca="false">(#REF!-#REF!)</f>
        <v>#REF!</v>
      </c>
      <c r="P12" s="12" t="e">
        <f aca="false">(#REF!-#REF!)</f>
        <v>#REF!</v>
      </c>
      <c r="Q12" s="12" t="e">
        <f aca="false">(#REF!-#REF!)</f>
        <v>#REF!</v>
      </c>
      <c r="R12" s="12" t="e">
        <f aca="false">(#REF!-#REF!)</f>
        <v>#REF!</v>
      </c>
      <c r="S12" s="12" t="e">
        <f aca="false">(#REF!-#REF!)</f>
        <v>#REF!</v>
      </c>
      <c r="T12" s="12" t="e">
        <f aca="false">(#REF!-#REF!)</f>
        <v>#REF!</v>
      </c>
      <c r="U12" s="12" t="e">
        <f aca="false">(#REF!-#REF!)</f>
        <v>#REF!</v>
      </c>
      <c r="V12" s="12" t="e">
        <f aca="false">(#REF!-#REF!)</f>
        <v>#REF!</v>
      </c>
      <c r="W12" s="12" t="e">
        <f aca="false">(#REF!-#REF!)</f>
        <v>#REF!</v>
      </c>
      <c r="X12" s="12" t="e">
        <f aca="false">(#REF!-#REF!)</f>
        <v>#REF!</v>
      </c>
      <c r="Y12" s="12" t="e">
        <f aca="false">(#REF!-#REF!)</f>
        <v>#REF!</v>
      </c>
      <c r="Z12" s="12" t="e">
        <f aca="false">(#REF!-#REF!)</f>
        <v>#REF!</v>
      </c>
      <c r="AA12" s="12" t="e">
        <f aca="false">(#REF!-#REF!)</f>
        <v>#REF!</v>
      </c>
      <c r="AB12" s="12" t="e">
        <f aca="false">(#REF!-#REF!)</f>
        <v>#REF!</v>
      </c>
      <c r="AC12" s="12" t="e">
        <f aca="false">(#REF!-#REF!)</f>
        <v>#REF!</v>
      </c>
      <c r="AD12" s="12" t="e">
        <f aca="false">(#REF!-#REF!)</f>
        <v>#REF!</v>
      </c>
      <c r="AE12" s="12" t="e">
        <f aca="false">(#REF!-#REF!)</f>
        <v>#REF!</v>
      </c>
      <c r="AF12" s="12" t="e">
        <f aca="false">(#REF!-#REF!)</f>
        <v>#REF!</v>
      </c>
      <c r="AG12" s="13" t="n">
        <f aca="false">COUNTIF(B12:AF12,"&gt;0")</f>
        <v>0</v>
      </c>
      <c r="AH12" s="14" t="n">
        <v>0</v>
      </c>
    </row>
    <row r="13" customFormat="false" ht="15" hidden="false" customHeight="true" outlineLevel="0" collapsed="false">
      <c r="A13" s="11" t="s">
        <v>22</v>
      </c>
      <c r="B13" s="12" t="n">
        <f aca="false">(B15-B14)</f>
        <v>0.3125</v>
      </c>
      <c r="C13" s="12" t="n">
        <f aca="false">(C15-C14)</f>
        <v>0.25</v>
      </c>
      <c r="D13" s="12" t="n">
        <f aca="false">(D15-D14)</f>
        <v>0</v>
      </c>
      <c r="E13" s="12" t="n">
        <f aca="false">(E15-E14)</f>
        <v>0.333333333333333</v>
      </c>
      <c r="F13" s="12" t="n">
        <f aca="false">(F15-F14)</f>
        <v>0.3125</v>
      </c>
      <c r="G13" s="12" t="n">
        <f aca="false">(G15-G14)</f>
        <v>0.333333333333333</v>
      </c>
      <c r="H13" s="12" t="n">
        <f aca="false">(H15-H14)</f>
        <v>0.3125</v>
      </c>
      <c r="I13" s="12" t="n">
        <f aca="false">(I15-I14)</f>
        <v>0.3125</v>
      </c>
      <c r="J13" s="12" t="n">
        <f aca="false">(J15-J14)</f>
        <v>0</v>
      </c>
      <c r="K13" s="12" t="n">
        <f aca="false">(K15-K14)</f>
        <v>0</v>
      </c>
      <c r="L13" s="12" t="n">
        <f aca="false">(L15-L14)</f>
        <v>0.333333333333333</v>
      </c>
      <c r="M13" s="12" t="n">
        <f aca="false">(M15-M14)</f>
        <v>0.3125</v>
      </c>
      <c r="N13" s="12" t="n">
        <f aca="false">(N15-N14)</f>
        <v>0.333333333333333</v>
      </c>
      <c r="O13" s="12" t="n">
        <f aca="false">(O15-O14)</f>
        <v>0.3125</v>
      </c>
      <c r="P13" s="12" t="n">
        <f aca="false">(P15-P14)</f>
        <v>0.3125</v>
      </c>
      <c r="Q13" s="12" t="n">
        <f aca="false">(Q15-Q14)</f>
        <v>0</v>
      </c>
      <c r="R13" s="12" t="n">
        <f aca="false">(R15-R14)</f>
        <v>0</v>
      </c>
      <c r="S13" s="12" t="n">
        <f aca="false">(S15-S14)</f>
        <v>0.333333333333333</v>
      </c>
      <c r="T13" s="12" t="n">
        <f aca="false">(T15-T14)</f>
        <v>0.3125</v>
      </c>
      <c r="U13" s="12" t="n">
        <f aca="false">(U15-U14)</f>
        <v>0.333333333333333</v>
      </c>
      <c r="V13" s="12" t="n">
        <f aca="false">(V15-V14)</f>
        <v>0.3125</v>
      </c>
      <c r="W13" s="12" t="n">
        <f aca="false">(W15-W14)</f>
        <v>0.3125</v>
      </c>
      <c r="X13" s="12" t="n">
        <f aca="false">(X15-X14)</f>
        <v>0</v>
      </c>
      <c r="Y13" s="12" t="n">
        <f aca="false">(Y15-Y14)</f>
        <v>0</v>
      </c>
      <c r="Z13" s="12" t="n">
        <f aca="false">(Z15-Z14)</f>
        <v>0.333333333333333</v>
      </c>
      <c r="AA13" s="12" t="n">
        <f aca="false">(AA15-AA14)</f>
        <v>0.3125</v>
      </c>
      <c r="AB13" s="12" t="n">
        <f aca="false">(AB15-AB14)</f>
        <v>0.326388888888889</v>
      </c>
      <c r="AC13" s="12" t="n">
        <f aca="false">(AC15-AC14)</f>
        <v>0.3125</v>
      </c>
      <c r="AD13" s="12" t="n">
        <f aca="false">(AD15-AD14)</f>
        <v>0.3125</v>
      </c>
      <c r="AE13" s="12" t="n">
        <f aca="false">(AE15-AE14)</f>
        <v>0</v>
      </c>
      <c r="AF13" s="12" t="n">
        <f aca="false">(AF15-AF14)</f>
        <v>0</v>
      </c>
      <c r="AG13" s="13" t="n">
        <f aca="false">COUNTIF(B13:AF13,"&gt;0")</f>
        <v>22</v>
      </c>
      <c r="AH13" s="14" t="n">
        <v>168</v>
      </c>
    </row>
    <row r="14" customFormat="false" ht="15" hidden="false" customHeight="true" outlineLevel="0" collapsed="false">
      <c r="A14" s="15" t="s">
        <v>23</v>
      </c>
      <c r="B14" s="16" t="n">
        <v>0.270833333333333</v>
      </c>
      <c r="C14" s="16" t="n">
        <v>0.333333333333333</v>
      </c>
      <c r="D14" s="16"/>
      <c r="E14" s="16" t="n">
        <v>0.270833333333333</v>
      </c>
      <c r="F14" s="16" t="n">
        <v>0.270833333333333</v>
      </c>
      <c r="G14" s="16" t="n">
        <v>0.270833333333333</v>
      </c>
      <c r="H14" s="16" t="n">
        <v>0.270833333333333</v>
      </c>
      <c r="I14" s="16" t="n">
        <v>0.270833333333333</v>
      </c>
      <c r="J14" s="16"/>
      <c r="K14" s="16"/>
      <c r="L14" s="16" t="n">
        <v>0.270833333333333</v>
      </c>
      <c r="M14" s="16" t="n">
        <v>0.270833333333333</v>
      </c>
      <c r="N14" s="16" t="n">
        <v>0.270833333333333</v>
      </c>
      <c r="O14" s="16" t="n">
        <v>0.270833333333333</v>
      </c>
      <c r="P14" s="16" t="n">
        <v>0.270833333333333</v>
      </c>
      <c r="Q14" s="16"/>
      <c r="R14" s="16"/>
      <c r="S14" s="16" t="n">
        <v>0.270833333333333</v>
      </c>
      <c r="T14" s="16" t="n">
        <v>0.270833333333333</v>
      </c>
      <c r="U14" s="16" t="n">
        <v>0.270833333333333</v>
      </c>
      <c r="V14" s="16" t="n">
        <v>0.270833333333333</v>
      </c>
      <c r="W14" s="16" t="n">
        <v>0.270833333333333</v>
      </c>
      <c r="X14" s="16"/>
      <c r="Y14" s="16"/>
      <c r="Z14" s="16" t="n">
        <v>0.270833333333333</v>
      </c>
      <c r="AA14" s="16" t="n">
        <v>0.270833333333333</v>
      </c>
      <c r="AB14" s="16" t="n">
        <v>0.270833333333333</v>
      </c>
      <c r="AC14" s="16" t="n">
        <v>0.270833333333333</v>
      </c>
      <c r="AD14" s="16" t="n">
        <v>0.270833333333333</v>
      </c>
      <c r="AE14" s="16"/>
      <c r="AF14" s="16"/>
      <c r="AG14" s="13"/>
      <c r="AH14" s="13"/>
    </row>
    <row r="15" customFormat="false" ht="15" hidden="false" customHeight="true" outlineLevel="0" collapsed="false">
      <c r="A15" s="17" t="s">
        <v>24</v>
      </c>
      <c r="B15" s="18" t="n">
        <v>0.583333333333333</v>
      </c>
      <c r="C15" s="18" t="n">
        <v>0.583333333333333</v>
      </c>
      <c r="D15" s="18"/>
      <c r="E15" s="18" t="n">
        <v>0.604166666666667</v>
      </c>
      <c r="F15" s="18" t="n">
        <v>0.583333333333333</v>
      </c>
      <c r="G15" s="18" t="n">
        <v>0.604166666666667</v>
      </c>
      <c r="H15" s="18" t="n">
        <v>0.583333333333333</v>
      </c>
      <c r="I15" s="18" t="n">
        <v>0.583333333333333</v>
      </c>
      <c r="J15" s="18"/>
      <c r="K15" s="18"/>
      <c r="L15" s="18" t="n">
        <v>0.604166666666667</v>
      </c>
      <c r="M15" s="18" t="n">
        <v>0.583333333333333</v>
      </c>
      <c r="N15" s="18" t="n">
        <v>0.604166666666667</v>
      </c>
      <c r="O15" s="18" t="n">
        <v>0.583333333333333</v>
      </c>
      <c r="P15" s="18" t="n">
        <v>0.583333333333333</v>
      </c>
      <c r="Q15" s="18"/>
      <c r="R15" s="18"/>
      <c r="S15" s="18" t="n">
        <v>0.604166666666667</v>
      </c>
      <c r="T15" s="18" t="n">
        <v>0.583333333333333</v>
      </c>
      <c r="U15" s="18" t="n">
        <v>0.604166666666667</v>
      </c>
      <c r="V15" s="18" t="n">
        <v>0.583333333333333</v>
      </c>
      <c r="W15" s="18" t="n">
        <v>0.583333333333333</v>
      </c>
      <c r="X15" s="18"/>
      <c r="Y15" s="18"/>
      <c r="Z15" s="18" t="n">
        <v>0.604166666666667</v>
      </c>
      <c r="AA15" s="18" t="n">
        <v>0.583333333333333</v>
      </c>
      <c r="AB15" s="18" t="n">
        <v>0.597222222222222</v>
      </c>
      <c r="AC15" s="18" t="n">
        <v>0.583333333333333</v>
      </c>
      <c r="AD15" s="18" t="n">
        <v>0.583333333333333</v>
      </c>
      <c r="AE15" s="18"/>
      <c r="AF15" s="18"/>
      <c r="AG15" s="13"/>
      <c r="AH15" s="13"/>
    </row>
    <row r="16" customFormat="false" ht="15" hidden="false" customHeight="true" outlineLevel="0" collapsed="false">
      <c r="A16" s="11" t="s">
        <v>25</v>
      </c>
      <c r="B16" s="12" t="n">
        <f aca="false">(B18-B17)</f>
        <v>0.270833333333333</v>
      </c>
      <c r="C16" s="12" t="n">
        <f aca="false">(C18-C17)</f>
        <v>0</v>
      </c>
      <c r="D16" s="12" t="n">
        <f aca="false">(D18-D17)</f>
        <v>0</v>
      </c>
      <c r="E16" s="12" t="n">
        <f aca="false">(E18-E17)</f>
        <v>0.270833333333333</v>
      </c>
      <c r="F16" s="12" t="n">
        <f aca="false">(F18-F17)</f>
        <v>0.25</v>
      </c>
      <c r="G16" s="12" t="n">
        <f aca="false">(G18-G17)</f>
        <v>0.270833333333333</v>
      </c>
      <c r="H16" s="12" t="n">
        <f aca="false">(H18-H17)</f>
        <v>0.275</v>
      </c>
      <c r="I16" s="12" t="n">
        <f aca="false">(I18-I17)</f>
        <v>0.270833333333333</v>
      </c>
      <c r="J16" s="12" t="n">
        <f aca="false">(J18-J17)</f>
        <v>0.208333333333333</v>
      </c>
      <c r="K16" s="12" t="n">
        <f aca="false">(K18-K17)</f>
        <v>0</v>
      </c>
      <c r="L16" s="12" t="n">
        <f aca="false">(L18-L17)</f>
        <v>0.270833333333333</v>
      </c>
      <c r="M16" s="12" t="n">
        <f aca="false">(M18-M17)</f>
        <v>0.25</v>
      </c>
      <c r="N16" s="12" t="n">
        <f aca="false">(N18-N17)</f>
        <v>0.270833333333333</v>
      </c>
      <c r="O16" s="12" t="n">
        <f aca="false">(O18-O17)</f>
        <v>0.270833333333333</v>
      </c>
      <c r="P16" s="12" t="n">
        <f aca="false">(P18-P17)</f>
        <v>0.25</v>
      </c>
      <c r="Q16" s="12" t="n">
        <f aca="false">(Q18-Q17)</f>
        <v>0</v>
      </c>
      <c r="R16" s="12" t="n">
        <f aca="false">(R18-R17)</f>
        <v>0</v>
      </c>
      <c r="S16" s="12" t="n">
        <f aca="false">(S18-S17)</f>
        <v>0.270833333333333</v>
      </c>
      <c r="T16" s="12" t="n">
        <f aca="false">(T18-T17)</f>
        <v>0.25</v>
      </c>
      <c r="U16" s="12" t="n">
        <f aca="false">(U18-U17)</f>
        <v>0.270833333333333</v>
      </c>
      <c r="V16" s="12" t="n">
        <f aca="false">(V18-V17)</f>
        <v>0.270833333333333</v>
      </c>
      <c r="W16" s="12" t="n">
        <f aca="false">(W18-W17)</f>
        <v>0.25</v>
      </c>
      <c r="X16" s="12" t="n">
        <f aca="false">(X18-X17)</f>
        <v>0</v>
      </c>
      <c r="Y16" s="12" t="n">
        <f aca="false">(Y18-Y17)</f>
        <v>0</v>
      </c>
      <c r="Z16" s="12" t="n">
        <f aca="false">(Z18-Z17)</f>
        <v>0.270833333333333</v>
      </c>
      <c r="AA16" s="12" t="n">
        <v>0.25</v>
      </c>
      <c r="AB16" s="12" t="n">
        <f aca="false">(AB18-AB17)</f>
        <v>0.270833333333333</v>
      </c>
      <c r="AC16" s="12" t="n">
        <f aca="false">(AC18-AC17)</f>
        <v>0.270833333333333</v>
      </c>
      <c r="AD16" s="12" t="n">
        <f aca="false">(AD18-AD17)</f>
        <v>0.270833333333333</v>
      </c>
      <c r="AE16" s="12" t="n">
        <f aca="false">(AE18-AE17)</f>
        <v>0</v>
      </c>
      <c r="AF16" s="12" t="n">
        <f aca="false">(AF18-AF17)</f>
        <v>0</v>
      </c>
      <c r="AG16" s="13" t="n">
        <v>22</v>
      </c>
      <c r="AH16" s="14" t="n">
        <v>138.36</v>
      </c>
    </row>
    <row r="17" customFormat="false" ht="15" hidden="false" customHeight="true" outlineLevel="0" collapsed="false">
      <c r="A17" s="15" t="s">
        <v>26</v>
      </c>
      <c r="B17" s="16" t="n">
        <v>0.5625</v>
      </c>
      <c r="C17" s="16"/>
      <c r="D17" s="16"/>
      <c r="E17" s="16" t="n">
        <v>0.5625</v>
      </c>
      <c r="F17" s="16" t="n">
        <v>0.333333333333333</v>
      </c>
      <c r="G17" s="16" t="n">
        <v>0.5625</v>
      </c>
      <c r="H17" s="16" t="n">
        <v>0.333333333333333</v>
      </c>
      <c r="I17" s="16" t="n">
        <v>0.333333333333333</v>
      </c>
      <c r="J17" s="16" t="n">
        <v>0.375</v>
      </c>
      <c r="K17" s="16"/>
      <c r="L17" s="16" t="n">
        <v>0.5625</v>
      </c>
      <c r="M17" s="16" t="n">
        <v>0.333333333333333</v>
      </c>
      <c r="N17" s="16" t="n">
        <v>0.5625</v>
      </c>
      <c r="O17" s="16" t="n">
        <v>0.333333333333333</v>
      </c>
      <c r="P17" s="16" t="n">
        <v>0.333333333333333</v>
      </c>
      <c r="Q17" s="16"/>
      <c r="R17" s="16"/>
      <c r="S17" s="16" t="n">
        <v>0.5625</v>
      </c>
      <c r="T17" s="16" t="n">
        <v>0.333333333333333</v>
      </c>
      <c r="U17" s="16" t="n">
        <v>0.5625</v>
      </c>
      <c r="V17" s="16" t="n">
        <v>0.333333333333333</v>
      </c>
      <c r="W17" s="16" t="n">
        <v>0.333333333333333</v>
      </c>
      <c r="X17" s="16"/>
      <c r="Y17" s="16"/>
      <c r="Z17" s="16" t="n">
        <v>0.5625</v>
      </c>
      <c r="AA17" s="16" t="n">
        <v>0.333333333333333</v>
      </c>
      <c r="AB17" s="16" t="n">
        <v>0.5625</v>
      </c>
      <c r="AC17" s="16" t="n">
        <v>0.333333333333333</v>
      </c>
      <c r="AD17" s="16" t="n">
        <v>0.333333333333333</v>
      </c>
      <c r="AE17" s="16"/>
      <c r="AF17" s="16"/>
      <c r="AG17" s="13"/>
      <c r="AH17" s="13"/>
    </row>
    <row r="18" customFormat="false" ht="15" hidden="false" customHeight="true" outlineLevel="0" collapsed="false">
      <c r="A18" s="17" t="s">
        <v>27</v>
      </c>
      <c r="B18" s="18" t="n">
        <v>0.833333333333333</v>
      </c>
      <c r="C18" s="18"/>
      <c r="D18" s="18"/>
      <c r="E18" s="18" t="n">
        <v>0.833333333333333</v>
      </c>
      <c r="F18" s="18" t="n">
        <v>0.583333333333333</v>
      </c>
      <c r="G18" s="18" t="n">
        <v>0.833333333333333</v>
      </c>
      <c r="H18" s="18" t="n">
        <v>0.608333333333333</v>
      </c>
      <c r="I18" s="18" t="n">
        <v>0.604166666666667</v>
      </c>
      <c r="J18" s="18" t="n">
        <v>0.583333333333333</v>
      </c>
      <c r="K18" s="18"/>
      <c r="L18" s="18" t="n">
        <v>0.833333333333333</v>
      </c>
      <c r="M18" s="18" t="n">
        <v>0.583333333333333</v>
      </c>
      <c r="N18" s="18" t="n">
        <v>0.833333333333333</v>
      </c>
      <c r="O18" s="18" t="n">
        <v>0.604166666666667</v>
      </c>
      <c r="P18" s="18" t="n">
        <v>0.583333333333333</v>
      </c>
      <c r="Q18" s="18"/>
      <c r="R18" s="18"/>
      <c r="S18" s="18" t="n">
        <v>0.833333333333333</v>
      </c>
      <c r="T18" s="18" t="n">
        <v>0.583333333333333</v>
      </c>
      <c r="U18" s="18" t="n">
        <v>0.833333333333333</v>
      </c>
      <c r="V18" s="18" t="n">
        <v>0.604166666666667</v>
      </c>
      <c r="W18" s="18" t="n">
        <v>0.583333333333333</v>
      </c>
      <c r="X18" s="18"/>
      <c r="Y18" s="18"/>
      <c r="Z18" s="18" t="n">
        <v>0.833333333333333</v>
      </c>
      <c r="AA18" s="18" t="n">
        <v>0.583333333333333</v>
      </c>
      <c r="AB18" s="18" t="n">
        <v>0.833333333333333</v>
      </c>
      <c r="AC18" s="18" t="n">
        <v>0.604166666666667</v>
      </c>
      <c r="AD18" s="18" t="n">
        <v>0.604166666666667</v>
      </c>
      <c r="AE18" s="18"/>
      <c r="AF18" s="18"/>
      <c r="AG18" s="13"/>
      <c r="AH18" s="13"/>
    </row>
    <row r="19" customFormat="false" ht="15" hidden="false" customHeight="true" outlineLevel="0" collapsed="false">
      <c r="A19" s="11" t="s">
        <v>28</v>
      </c>
      <c r="B19" s="12" t="n">
        <f aca="false">(B21-B20)</f>
        <v>0.291666666666667</v>
      </c>
      <c r="C19" s="12" t="n">
        <f aca="false">(C21-C20)</f>
        <v>0</v>
      </c>
      <c r="D19" s="12" t="n">
        <f aca="false">(D21-D20)</f>
        <v>0</v>
      </c>
      <c r="E19" s="12" t="n">
        <f aca="false">(E21-E20)</f>
        <v>0.3125</v>
      </c>
      <c r="F19" s="12" t="n">
        <f aca="false">(F21-F20)</f>
        <v>0.341666666666667</v>
      </c>
      <c r="G19" s="12" t="n">
        <f aca="false">(G21-G20)</f>
        <v>0.3125</v>
      </c>
      <c r="H19" s="12" t="n">
        <f aca="false">(H21-H20)</f>
        <v>0.3125</v>
      </c>
      <c r="I19" s="12" t="n">
        <f aca="false">(I21-I20)</f>
        <v>0.291666666666667</v>
      </c>
      <c r="J19" s="12" t="n">
        <f aca="false">(J21-J20)</f>
        <v>0.25</v>
      </c>
      <c r="K19" s="12" t="n">
        <f aca="false">(K21-K20)</f>
        <v>0</v>
      </c>
      <c r="L19" s="12" t="n">
        <f aca="false">(L21-L20)</f>
        <v>0.3125</v>
      </c>
      <c r="M19" s="12" t="n">
        <f aca="false">(M21-M20)</f>
        <v>0.3125</v>
      </c>
      <c r="N19" s="12" t="n">
        <f aca="false">(N21-N20)</f>
        <v>0.3125</v>
      </c>
      <c r="O19" s="12" t="n">
        <f aca="false">(O21-O20)</f>
        <v>0.3125</v>
      </c>
      <c r="P19" s="12" t="n">
        <f aca="false">(P21-P20)</f>
        <v>0.291666666666667</v>
      </c>
      <c r="Q19" s="12" t="n">
        <f aca="false">(Q21-Q20)</f>
        <v>0</v>
      </c>
      <c r="R19" s="12" t="n">
        <f aca="false">(R21-R20)</f>
        <v>0</v>
      </c>
      <c r="S19" s="12" t="n">
        <f aca="false">(S21-S20)</f>
        <v>0.3125</v>
      </c>
      <c r="T19" s="12" t="n">
        <f aca="false">(T21-T20)</f>
        <v>0.3125</v>
      </c>
      <c r="U19" s="12" t="n">
        <f aca="false">(U21-U20)</f>
        <v>0.3125</v>
      </c>
      <c r="V19" s="12" t="n">
        <f aca="false">(V21-V20)</f>
        <v>0.3125</v>
      </c>
      <c r="W19" s="12" t="n">
        <f aca="false">(W21-W20)</f>
        <v>0.291666666666667</v>
      </c>
      <c r="X19" s="12" t="n">
        <f aca="false">(X21-X20)</f>
        <v>0</v>
      </c>
      <c r="Y19" s="12" t="n">
        <f aca="false">(Y21-Y20)</f>
        <v>0</v>
      </c>
      <c r="Z19" s="12" t="n">
        <f aca="false">(Z21-Z20)</f>
        <v>0.3125</v>
      </c>
      <c r="AA19" s="12" t="n">
        <f aca="false">(AA21-AA20)</f>
        <v>0.3125</v>
      </c>
      <c r="AB19" s="12" t="n">
        <f aca="false">(AB21-AB20)</f>
        <v>0.3125</v>
      </c>
      <c r="AC19" s="12" t="n">
        <f aca="false">(AC21-AC20)</f>
        <v>0.3125</v>
      </c>
      <c r="AD19" s="12" t="n">
        <f aca="false">(AD21-AD20)</f>
        <v>0.291666666666667</v>
      </c>
      <c r="AE19" s="12" t="n">
        <f aca="false">(AE21-AE20)</f>
        <v>0</v>
      </c>
      <c r="AF19" s="12" t="n">
        <f aca="false">(AF21-AF20)</f>
        <v>0</v>
      </c>
      <c r="AG19" s="13" t="n">
        <f aca="false">COUNTIF(B19:AF19,"&gt;0")</f>
        <v>22</v>
      </c>
      <c r="AH19" s="14" t="n">
        <v>161.42</v>
      </c>
    </row>
    <row r="20" customFormat="false" ht="15" hidden="false" customHeight="true" outlineLevel="0" collapsed="false">
      <c r="A20" s="15" t="s">
        <v>29</v>
      </c>
      <c r="B20" s="16" t="n">
        <v>0.3125</v>
      </c>
      <c r="C20" s="16"/>
      <c r="D20" s="16"/>
      <c r="E20" s="16" t="n">
        <v>0.520833333333333</v>
      </c>
      <c r="F20" s="16" t="n">
        <v>0.3125</v>
      </c>
      <c r="G20" s="16" t="n">
        <v>0.520833333333333</v>
      </c>
      <c r="H20" s="16" t="n">
        <v>0.3125</v>
      </c>
      <c r="I20" s="16" t="n">
        <v>0.375</v>
      </c>
      <c r="J20" s="16" t="n">
        <v>0.333333333333333</v>
      </c>
      <c r="K20" s="16"/>
      <c r="L20" s="16" t="n">
        <v>0.3125</v>
      </c>
      <c r="M20" s="16" t="n">
        <v>0.520833333333333</v>
      </c>
      <c r="N20" s="16" t="n">
        <v>0.3125</v>
      </c>
      <c r="O20" s="16" t="n">
        <v>0.520833333333333</v>
      </c>
      <c r="P20" s="16" t="n">
        <v>0.3125</v>
      </c>
      <c r="Q20" s="16"/>
      <c r="R20" s="16"/>
      <c r="S20" s="16" t="n">
        <v>0.520833333333333</v>
      </c>
      <c r="T20" s="16" t="n">
        <v>0.3125</v>
      </c>
      <c r="U20" s="16" t="n">
        <v>0.520833333333333</v>
      </c>
      <c r="V20" s="16" t="n">
        <v>0.3125</v>
      </c>
      <c r="W20" s="16" t="n">
        <v>0.375</v>
      </c>
      <c r="X20" s="16"/>
      <c r="Y20" s="16"/>
      <c r="Z20" s="16" t="n">
        <v>0.3125</v>
      </c>
      <c r="AA20" s="16" t="n">
        <v>0.520833333333333</v>
      </c>
      <c r="AB20" s="16" t="n">
        <v>0.3125</v>
      </c>
      <c r="AC20" s="16" t="n">
        <v>0.520833333333333</v>
      </c>
      <c r="AD20" s="16" t="n">
        <v>0.3125</v>
      </c>
      <c r="AE20" s="16"/>
      <c r="AF20" s="16"/>
      <c r="AG20" s="13"/>
      <c r="AH20" s="13"/>
    </row>
    <row r="21" customFormat="false" ht="15" hidden="false" customHeight="true" outlineLevel="0" collapsed="false">
      <c r="A21" s="17" t="s">
        <v>27</v>
      </c>
      <c r="B21" s="18" t="n">
        <v>0.604166666666667</v>
      </c>
      <c r="C21" s="18"/>
      <c r="D21" s="18"/>
      <c r="E21" s="18" t="n">
        <v>0.833333333333333</v>
      </c>
      <c r="F21" s="18" t="n">
        <v>0.654166666666667</v>
      </c>
      <c r="G21" s="18" t="n">
        <v>0.833333333333333</v>
      </c>
      <c r="H21" s="18" t="n">
        <v>0.625</v>
      </c>
      <c r="I21" s="18" t="n">
        <v>0.666666666666667</v>
      </c>
      <c r="J21" s="18" t="n">
        <v>0.583333333333333</v>
      </c>
      <c r="K21" s="18"/>
      <c r="L21" s="18" t="n">
        <v>0.625</v>
      </c>
      <c r="M21" s="18" t="n">
        <v>0.833333333333333</v>
      </c>
      <c r="N21" s="18" t="n">
        <v>0.625</v>
      </c>
      <c r="O21" s="18" t="n">
        <v>0.833333333333333</v>
      </c>
      <c r="P21" s="18" t="n">
        <v>0.604166666666667</v>
      </c>
      <c r="Q21" s="18"/>
      <c r="R21" s="18"/>
      <c r="S21" s="18" t="n">
        <v>0.833333333333333</v>
      </c>
      <c r="T21" s="18" t="n">
        <v>0.625</v>
      </c>
      <c r="U21" s="18" t="n">
        <v>0.833333333333333</v>
      </c>
      <c r="V21" s="18" t="n">
        <v>0.625</v>
      </c>
      <c r="W21" s="18" t="n">
        <v>0.666666666666667</v>
      </c>
      <c r="X21" s="18"/>
      <c r="Y21" s="18"/>
      <c r="Z21" s="18" t="n">
        <v>0.625</v>
      </c>
      <c r="AA21" s="18" t="n">
        <v>0.833333333333333</v>
      </c>
      <c r="AB21" s="18" t="n">
        <v>0.625</v>
      </c>
      <c r="AC21" s="18" t="n">
        <v>0.833333333333333</v>
      </c>
      <c r="AD21" s="18" t="n">
        <v>0.604166666666667</v>
      </c>
      <c r="AE21" s="18"/>
      <c r="AF21" s="18"/>
      <c r="AG21" s="13"/>
      <c r="AH21" s="13"/>
    </row>
    <row r="22" customFormat="false" ht="15" hidden="false" customHeight="true" outlineLevel="0" collapsed="false">
      <c r="A22" s="11" t="s">
        <v>30</v>
      </c>
      <c r="B22" s="12" t="n">
        <f aca="false">(B24-B23)</f>
        <v>0</v>
      </c>
      <c r="C22" s="12" t="n">
        <f aca="false">(C24-C23)</f>
        <v>0</v>
      </c>
      <c r="D22" s="12" t="n">
        <f aca="false">(D24-D23)</f>
        <v>0</v>
      </c>
      <c r="E22" s="12" t="n">
        <f aca="false">(E24-E23)</f>
        <v>0.270833333333333</v>
      </c>
      <c r="F22" s="12" t="n">
        <f aca="false">(F24-F23)</f>
        <v>0.270833333333333</v>
      </c>
      <c r="G22" s="12" t="n">
        <f aca="false">(G24-G23)</f>
        <v>0.270833333333333</v>
      </c>
      <c r="H22" s="12" t="n">
        <f aca="false">(H24-H23)</f>
        <v>0.270833333333333</v>
      </c>
      <c r="I22" s="12" t="n">
        <f aca="false">(I24-I23)</f>
        <v>0</v>
      </c>
      <c r="J22" s="12" t="n">
        <f aca="false">(J24-J23)</f>
        <v>0</v>
      </c>
      <c r="K22" s="12" t="n">
        <f aca="false">(K24-K23)</f>
        <v>0</v>
      </c>
      <c r="L22" s="12" t="n">
        <v>0.25</v>
      </c>
      <c r="M22" s="12" t="n">
        <f aca="false">(M24-M23)</f>
        <v>0.25</v>
      </c>
      <c r="N22" s="12" t="n">
        <f aca="false">(N24-N23)</f>
        <v>0.270833333333333</v>
      </c>
      <c r="O22" s="12" t="n">
        <f aca="false">(O24-O23)</f>
        <v>0.270833333333333</v>
      </c>
      <c r="P22" s="12" t="n">
        <f aca="false">(P24-P23)</f>
        <v>0</v>
      </c>
      <c r="Q22" s="12" t="n">
        <f aca="false">(Q24-Q23)</f>
        <v>0</v>
      </c>
      <c r="R22" s="12" t="n">
        <f aca="false">(R24-R23)</f>
        <v>0</v>
      </c>
      <c r="S22" s="12" t="n">
        <f aca="false">(S24-S23)</f>
        <v>0.270833333333333</v>
      </c>
      <c r="T22" s="12" t="n">
        <f aca="false">(T24-T23)</f>
        <v>0.270833333333333</v>
      </c>
      <c r="U22" s="12" t="n">
        <f aca="false">(U24-U23)</f>
        <v>0.270833333333333</v>
      </c>
      <c r="V22" s="12" t="n">
        <f aca="false">(V24-V23)</f>
        <v>0.270833333333333</v>
      </c>
      <c r="W22" s="12" t="n">
        <f aca="false">(W24-W23)</f>
        <v>0</v>
      </c>
      <c r="X22" s="12" t="n">
        <f aca="false">(X24-X23)</f>
        <v>0</v>
      </c>
      <c r="Y22" s="12" t="n">
        <f aca="false">(Y24-Y23)</f>
        <v>0</v>
      </c>
      <c r="Z22" s="12" t="n">
        <f aca="false">(Z24-Z23)</f>
        <v>0.270833333333333</v>
      </c>
      <c r="AA22" s="12" t="n">
        <f aca="false">(AA24-AA23)</f>
        <v>0.270833333333333</v>
      </c>
      <c r="AB22" s="12" t="n">
        <f aca="false">(AB24-AB23)</f>
        <v>0.270833333333333</v>
      </c>
      <c r="AC22" s="12" t="n">
        <f aca="false">(AC24-AC23)</f>
        <v>0.270833333333333</v>
      </c>
      <c r="AD22" s="12" t="n">
        <f aca="false">(AD24-AD23)</f>
        <v>0</v>
      </c>
      <c r="AE22" s="12" t="n">
        <f aca="false">(AE24-AE23)</f>
        <v>0</v>
      </c>
      <c r="AF22" s="12" t="n">
        <f aca="false">(AF24-AF23)</f>
        <v>0</v>
      </c>
      <c r="AG22" s="13" t="n">
        <f aca="false">COUNTIF(B22:AF22,"&gt;0")</f>
        <v>16</v>
      </c>
      <c r="AH22" s="14" t="n">
        <v>103.45</v>
      </c>
    </row>
    <row r="23" customFormat="false" ht="15" hidden="false" customHeight="true" outlineLevel="0" collapsed="false">
      <c r="A23" s="15" t="s">
        <v>19</v>
      </c>
      <c r="B23" s="16"/>
      <c r="C23" s="16"/>
      <c r="D23" s="16"/>
      <c r="E23" s="16" t="n">
        <v>0.5625</v>
      </c>
      <c r="F23" s="16" t="n">
        <v>0.333333333333333</v>
      </c>
      <c r="G23" s="16" t="n">
        <v>0.5625</v>
      </c>
      <c r="H23" s="16" t="n">
        <v>0.333333333333333</v>
      </c>
      <c r="I23" s="16"/>
      <c r="J23" s="16"/>
      <c r="K23" s="16"/>
      <c r="L23" s="16" t="n">
        <v>0.333333333333333</v>
      </c>
      <c r="M23" s="16" t="n">
        <v>0.583333333333333</v>
      </c>
      <c r="N23" s="16" t="n">
        <v>0.333333333333333</v>
      </c>
      <c r="O23" s="16" t="n">
        <v>0.5625</v>
      </c>
      <c r="P23" s="16"/>
      <c r="Q23" s="16"/>
      <c r="R23" s="16"/>
      <c r="S23" s="16" t="n">
        <v>0.5625</v>
      </c>
      <c r="T23" s="16" t="n">
        <v>0.333333333333333</v>
      </c>
      <c r="U23" s="16" t="n">
        <v>0.5625</v>
      </c>
      <c r="V23" s="16" t="n">
        <v>0.333333333333333</v>
      </c>
      <c r="W23" s="16"/>
      <c r="X23" s="16"/>
      <c r="Y23" s="16"/>
      <c r="Z23" s="16" t="n">
        <v>0.333333333333333</v>
      </c>
      <c r="AA23" s="16" t="n">
        <v>0.5625</v>
      </c>
      <c r="AB23" s="16" t="n">
        <v>0.333333333333333</v>
      </c>
      <c r="AC23" s="16" t="n">
        <v>0.5625</v>
      </c>
      <c r="AD23" s="16"/>
      <c r="AE23" s="16"/>
      <c r="AF23" s="16"/>
      <c r="AG23" s="13"/>
      <c r="AH23" s="13"/>
    </row>
    <row r="24" customFormat="false" ht="15" hidden="false" customHeight="true" outlineLevel="0" collapsed="false">
      <c r="A24" s="17" t="s">
        <v>31</v>
      </c>
      <c r="B24" s="18"/>
      <c r="C24" s="18"/>
      <c r="D24" s="18"/>
      <c r="E24" s="18" t="n">
        <v>0.833333333333333</v>
      </c>
      <c r="F24" s="18" t="n">
        <v>0.604166666666667</v>
      </c>
      <c r="G24" s="18" t="n">
        <v>0.833333333333333</v>
      </c>
      <c r="H24" s="18" t="n">
        <v>0.604166666666667</v>
      </c>
      <c r="I24" s="18"/>
      <c r="J24" s="18"/>
      <c r="K24" s="18"/>
      <c r="L24" s="18" t="n">
        <v>0.583333333333333</v>
      </c>
      <c r="M24" s="18" t="n">
        <v>0.833333333333333</v>
      </c>
      <c r="N24" s="18" t="n">
        <v>0.604166666666667</v>
      </c>
      <c r="O24" s="18" t="n">
        <v>0.833333333333333</v>
      </c>
      <c r="P24" s="18"/>
      <c r="Q24" s="18"/>
      <c r="R24" s="18"/>
      <c r="S24" s="18" t="n">
        <v>0.833333333333333</v>
      </c>
      <c r="T24" s="18" t="n">
        <v>0.604166666666667</v>
      </c>
      <c r="U24" s="18" t="n">
        <v>0.833333333333333</v>
      </c>
      <c r="V24" s="18" t="n">
        <v>0.604166666666667</v>
      </c>
      <c r="W24" s="18"/>
      <c r="X24" s="18"/>
      <c r="Y24" s="18"/>
      <c r="Z24" s="18" t="n">
        <v>0.604166666666667</v>
      </c>
      <c r="AA24" s="18" t="n">
        <v>0.833333333333333</v>
      </c>
      <c r="AB24" s="18" t="n">
        <v>0.604166666666667</v>
      </c>
      <c r="AC24" s="18" t="n">
        <v>0.833333333333333</v>
      </c>
      <c r="AD24" s="18"/>
      <c r="AE24" s="18"/>
      <c r="AF24" s="18"/>
      <c r="AG24" s="13"/>
      <c r="AH24" s="13"/>
    </row>
    <row r="25" customFormat="false" ht="11.9" hidden="false" customHeight="true" outlineLevel="0" collapsed="false">
      <c r="A25" s="11" t="s">
        <v>32</v>
      </c>
      <c r="B25" s="12" t="n">
        <f aca="false">(B27-B26)</f>
        <v>0.25</v>
      </c>
      <c r="C25" s="12" t="n">
        <f aca="false">(C27-C26)</f>
        <v>0.208333333333333</v>
      </c>
      <c r="D25" s="12" t="n">
        <f aca="false">(D27-D26)</f>
        <v>0</v>
      </c>
      <c r="E25" s="12" t="n">
        <f aca="false">(E27-E26)</f>
        <v>0.275</v>
      </c>
      <c r="F25" s="12" t="n">
        <f aca="false">(F27-F26)</f>
        <v>0.270833333333333</v>
      </c>
      <c r="G25" s="12" t="n">
        <f aca="false">(G27-G26)</f>
        <v>0.270833333333333</v>
      </c>
      <c r="H25" s="12" t="n">
        <f aca="false">(H27-H26)</f>
        <v>0.270833333333333</v>
      </c>
      <c r="I25" s="12" t="n">
        <f aca="false">(I27-I26)</f>
        <v>0.25</v>
      </c>
      <c r="J25" s="12" t="n">
        <f aca="false">(J27-J26)</f>
        <v>0</v>
      </c>
      <c r="K25" s="12" t="n">
        <f aca="false">(K27-K26)</f>
        <v>0</v>
      </c>
      <c r="L25" s="12" t="n">
        <f aca="false">(L27-L26)</f>
        <v>0.270833333333333</v>
      </c>
      <c r="M25" s="12" t="n">
        <f aca="false">(M27-M26)</f>
        <v>0.270833333333333</v>
      </c>
      <c r="N25" s="12" t="n">
        <f aca="false">(N27-N26)</f>
        <v>0.270833333333333</v>
      </c>
      <c r="O25" s="12" t="n">
        <f aca="false">(O27-O26)</f>
        <v>0.270833333333333</v>
      </c>
      <c r="P25" s="12" t="n">
        <f aca="false">(P27-P26)</f>
        <v>0.25</v>
      </c>
      <c r="Q25" s="12" t="n">
        <f aca="false">(Q27-Q26)</f>
        <v>0</v>
      </c>
      <c r="R25" s="12" t="n">
        <f aca="false">(R27-R26)</f>
        <v>0</v>
      </c>
      <c r="S25" s="12" t="n">
        <f aca="false">(S27-S26)</f>
        <v>0.25</v>
      </c>
      <c r="T25" s="12" t="n">
        <f aca="false">(T27-T26)</f>
        <v>0.270833333333333</v>
      </c>
      <c r="U25" s="12" t="n">
        <f aca="false">(U27-U26)</f>
        <v>0.270833333333333</v>
      </c>
      <c r="V25" s="12" t="n">
        <f aca="false">(V27-V26)</f>
        <v>0.270833333333333</v>
      </c>
      <c r="W25" s="12" t="n">
        <f aca="false">(W27-W26)</f>
        <v>0.25</v>
      </c>
      <c r="X25" s="12" t="n">
        <f aca="false">(X27-X26)</f>
        <v>0</v>
      </c>
      <c r="Y25" s="12" t="n">
        <f aca="false">(Y27-Y26)</f>
        <v>0</v>
      </c>
      <c r="Z25" s="12" t="n">
        <f aca="false">(Z27-Z26)</f>
        <v>0.270833333333333</v>
      </c>
      <c r="AA25" s="12" t="n">
        <f aca="false">(AA27-AA26)</f>
        <v>0.270833333333333</v>
      </c>
      <c r="AB25" s="12" t="n">
        <f aca="false">(AB27-AB26)</f>
        <v>0.270833333333333</v>
      </c>
      <c r="AC25" s="12" t="n">
        <f aca="false">(AC27-AC26)</f>
        <v>0.270833333333333</v>
      </c>
      <c r="AD25" s="12" t="n">
        <f aca="false">(AD27-AD26)</f>
        <v>0.25</v>
      </c>
      <c r="AE25" s="12" t="n">
        <f aca="false">(AE27-AE26)</f>
        <v>0</v>
      </c>
      <c r="AF25" s="12" t="n">
        <f aca="false">(AF27-AF26)</f>
        <v>0</v>
      </c>
      <c r="AG25" s="13" t="n">
        <f aca="false">COUNTIF(B25:AF25,"&gt;0")</f>
        <v>22</v>
      </c>
      <c r="AH25" s="14" t="n">
        <v>138.36</v>
      </c>
    </row>
    <row r="26" customFormat="false" ht="11.9" hidden="false" customHeight="false" outlineLevel="0" collapsed="false">
      <c r="A26" s="15" t="s">
        <v>19</v>
      </c>
      <c r="B26" s="16" t="n">
        <v>0.375</v>
      </c>
      <c r="C26" s="16" t="n">
        <v>0.375</v>
      </c>
      <c r="D26" s="16"/>
      <c r="E26" s="16" t="n">
        <v>0.375</v>
      </c>
      <c r="F26" s="16" t="n">
        <v>0.375</v>
      </c>
      <c r="G26" s="16" t="n">
        <v>0.375</v>
      </c>
      <c r="H26" s="16" t="n">
        <v>0.375</v>
      </c>
      <c r="I26" s="16" t="n">
        <v>0.375</v>
      </c>
      <c r="J26" s="16"/>
      <c r="K26" s="16"/>
      <c r="L26" s="16" t="n">
        <v>0.375</v>
      </c>
      <c r="M26" s="16" t="n">
        <v>0.375</v>
      </c>
      <c r="N26" s="16" t="n">
        <v>0.375</v>
      </c>
      <c r="O26" s="16" t="n">
        <v>0.375</v>
      </c>
      <c r="P26" s="16" t="n">
        <v>0.375</v>
      </c>
      <c r="Q26" s="16"/>
      <c r="R26" s="16"/>
      <c r="S26" s="16" t="n">
        <v>0.375</v>
      </c>
      <c r="T26" s="16" t="n">
        <v>0.375</v>
      </c>
      <c r="U26" s="16" t="n">
        <v>0.375</v>
      </c>
      <c r="V26" s="16" t="n">
        <v>0.375</v>
      </c>
      <c r="W26" s="16" t="n">
        <v>0.375</v>
      </c>
      <c r="X26" s="16"/>
      <c r="Y26" s="16"/>
      <c r="Z26" s="16" t="n">
        <v>0.375</v>
      </c>
      <c r="AA26" s="16" t="n">
        <v>0.375</v>
      </c>
      <c r="AB26" s="16" t="n">
        <v>0.375</v>
      </c>
      <c r="AC26" s="16" t="n">
        <v>0.375</v>
      </c>
      <c r="AD26" s="16" t="n">
        <v>0.375</v>
      </c>
      <c r="AE26" s="16"/>
      <c r="AF26" s="16"/>
      <c r="AG26" s="13"/>
      <c r="AH26" s="13"/>
    </row>
    <row r="27" customFormat="false" ht="15" hidden="false" customHeight="true" outlineLevel="0" collapsed="false">
      <c r="A27" s="17" t="s">
        <v>20</v>
      </c>
      <c r="B27" s="18" t="n">
        <v>0.625</v>
      </c>
      <c r="C27" s="18" t="n">
        <v>0.583333333333333</v>
      </c>
      <c r="D27" s="18"/>
      <c r="E27" s="18" t="n">
        <v>0.65</v>
      </c>
      <c r="F27" s="18" t="n">
        <v>0.645833333333333</v>
      </c>
      <c r="G27" s="18" t="n">
        <v>0.645833333333333</v>
      </c>
      <c r="H27" s="18" t="n">
        <v>0.645833333333333</v>
      </c>
      <c r="I27" s="18" t="n">
        <v>0.625</v>
      </c>
      <c r="J27" s="18"/>
      <c r="K27" s="18"/>
      <c r="L27" s="18" t="n">
        <v>0.645833333333333</v>
      </c>
      <c r="M27" s="18" t="n">
        <v>0.645833333333333</v>
      </c>
      <c r="N27" s="18" t="n">
        <v>0.645833333333333</v>
      </c>
      <c r="O27" s="18" t="n">
        <v>0.645833333333333</v>
      </c>
      <c r="P27" s="18" t="n">
        <v>0.625</v>
      </c>
      <c r="Q27" s="18"/>
      <c r="R27" s="18"/>
      <c r="S27" s="18" t="n">
        <v>0.625</v>
      </c>
      <c r="T27" s="18" t="n">
        <v>0.645833333333333</v>
      </c>
      <c r="U27" s="18" t="n">
        <v>0.645833333333333</v>
      </c>
      <c r="V27" s="18" t="n">
        <v>0.645833333333333</v>
      </c>
      <c r="W27" s="18" t="n">
        <v>0.625</v>
      </c>
      <c r="X27" s="18"/>
      <c r="Y27" s="18"/>
      <c r="Z27" s="18" t="n">
        <v>0.645833333333333</v>
      </c>
      <c r="AA27" s="18" t="n">
        <v>0.645833333333333</v>
      </c>
      <c r="AB27" s="18" t="n">
        <v>0.645833333333333</v>
      </c>
      <c r="AC27" s="18" t="n">
        <v>0.645833333333333</v>
      </c>
      <c r="AD27" s="18" t="n">
        <v>0.625</v>
      </c>
      <c r="AE27" s="18"/>
      <c r="AF27" s="18"/>
      <c r="AG27" s="13"/>
      <c r="AH27" s="13"/>
    </row>
    <row r="28" customFormat="false" ht="15" hidden="false" customHeight="true" outlineLevel="0" collapsed="false">
      <c r="A28" s="11" t="s">
        <v>33</v>
      </c>
      <c r="B28" s="12" t="n">
        <f aca="false">(B30-B29)</f>
        <v>0</v>
      </c>
      <c r="C28" s="12" t="n">
        <f aca="false">(C30-C29)</f>
        <v>0</v>
      </c>
      <c r="D28" s="12" t="n">
        <f aca="false">(D30-D29)</f>
        <v>0</v>
      </c>
      <c r="E28" s="12" t="n">
        <f aca="false">(E30-E29)</f>
        <v>0</v>
      </c>
      <c r="F28" s="12" t="n">
        <f aca="false">(F30-F29)</f>
        <v>0.201388888888889</v>
      </c>
      <c r="G28" s="12" t="n">
        <f aca="false">(G30-G29)</f>
        <v>0.201388888888889</v>
      </c>
      <c r="H28" s="12" t="n">
        <f aca="false">(H30-H29)</f>
        <v>0.201388888888889</v>
      </c>
      <c r="I28" s="12" t="n">
        <f aca="false">(I30-I29)</f>
        <v>0</v>
      </c>
      <c r="J28" s="12" t="n">
        <f aca="false">(J30-J29)</f>
        <v>0</v>
      </c>
      <c r="K28" s="12" t="n">
        <f aca="false">(K30-K29)</f>
        <v>0</v>
      </c>
      <c r="L28" s="12" t="n">
        <v>0.25</v>
      </c>
      <c r="M28" s="12" t="n">
        <f aca="false">(M30-M29)</f>
        <v>0.201388888888889</v>
      </c>
      <c r="N28" s="12" t="n">
        <f aca="false">(N30-N29)</f>
        <v>0.0944444444444444</v>
      </c>
      <c r="O28" s="12" t="n">
        <f aca="false">(O30-O29)</f>
        <v>0.201388888888889</v>
      </c>
      <c r="P28" s="12" t="n">
        <f aca="false">(P30-P29)</f>
        <v>0</v>
      </c>
      <c r="Q28" s="12" t="n">
        <f aca="false">(Q30-Q29)</f>
        <v>0</v>
      </c>
      <c r="R28" s="12" t="n">
        <f aca="false">(R30-R29)</f>
        <v>0</v>
      </c>
      <c r="S28" s="12" t="n">
        <f aca="false">(S30-S29)</f>
        <v>0</v>
      </c>
      <c r="T28" s="12" t="n">
        <f aca="false">(T30-T29)</f>
        <v>0.201388888888889</v>
      </c>
      <c r="U28" s="12" t="n">
        <f aca="false">(U30-U29)</f>
        <v>0.201388888888889</v>
      </c>
      <c r="V28" s="12" t="n">
        <f aca="false">(V30-V29)</f>
        <v>0.201388888888889</v>
      </c>
      <c r="W28" s="12" t="n">
        <f aca="false">(W30-W29)</f>
        <v>0</v>
      </c>
      <c r="X28" s="12" t="n">
        <f aca="false">(X30-X29)</f>
        <v>0</v>
      </c>
      <c r="Y28" s="12" t="n">
        <f aca="false">(Y30-Y29)</f>
        <v>0</v>
      </c>
      <c r="Z28" s="12" t="n">
        <f aca="false">(Z30-Z29)</f>
        <v>0</v>
      </c>
      <c r="AA28" s="12" t="n">
        <f aca="false">(AA30-AA29)</f>
        <v>0.201388888888889</v>
      </c>
      <c r="AB28" s="12" t="n">
        <f aca="false">(AB30-AB29)</f>
        <v>0</v>
      </c>
      <c r="AC28" s="12" t="n">
        <f aca="false">(AC30-AC29)</f>
        <v>0.201388888888889</v>
      </c>
      <c r="AD28" s="12" t="n">
        <f aca="false">(AD30-AD29)</f>
        <v>0</v>
      </c>
      <c r="AE28" s="12" t="n">
        <f aca="false">(AE30-AE29)</f>
        <v>0</v>
      </c>
      <c r="AF28" s="12" t="n">
        <f aca="false">(AF30-AF29)</f>
        <v>0</v>
      </c>
      <c r="AG28" s="13" t="n">
        <v>11</v>
      </c>
      <c r="AH28" s="14" t="n">
        <v>55.26</v>
      </c>
    </row>
    <row r="29" customFormat="false" ht="15" hidden="false" customHeight="true" outlineLevel="0" collapsed="false">
      <c r="A29" s="15" t="s">
        <v>19</v>
      </c>
      <c r="B29" s="16"/>
      <c r="C29" s="16"/>
      <c r="D29" s="16"/>
      <c r="E29" s="16"/>
      <c r="F29" s="16" t="n">
        <v>0.625</v>
      </c>
      <c r="G29" s="16" t="n">
        <v>0.375</v>
      </c>
      <c r="H29" s="16" t="n">
        <v>0.583333333333333</v>
      </c>
      <c r="I29" s="16"/>
      <c r="J29" s="16"/>
      <c r="K29" s="16"/>
      <c r="L29" s="16"/>
      <c r="M29" s="16" t="n">
        <v>0.625</v>
      </c>
      <c r="N29" s="16" t="n">
        <v>0.375</v>
      </c>
      <c r="O29" s="16" t="n">
        <v>0.583333333333333</v>
      </c>
      <c r="P29" s="16"/>
      <c r="Q29" s="16"/>
      <c r="R29" s="16"/>
      <c r="S29" s="16"/>
      <c r="T29" s="16" t="n">
        <v>0.625</v>
      </c>
      <c r="U29" s="16" t="n">
        <v>0.375</v>
      </c>
      <c r="V29" s="16" t="n">
        <v>0.583333333333333</v>
      </c>
      <c r="W29" s="16"/>
      <c r="X29" s="16"/>
      <c r="Y29" s="16"/>
      <c r="Z29" s="16"/>
      <c r="AA29" s="16" t="n">
        <v>0.625</v>
      </c>
      <c r="AB29" s="16"/>
      <c r="AC29" s="16" t="n">
        <v>0.583333333333333</v>
      </c>
      <c r="AD29" s="16"/>
      <c r="AE29" s="16"/>
      <c r="AF29" s="16"/>
      <c r="AG29" s="13"/>
      <c r="AH29" s="13"/>
    </row>
    <row r="30" customFormat="false" ht="15" hidden="false" customHeight="true" outlineLevel="0" collapsed="false">
      <c r="A30" s="17" t="s">
        <v>34</v>
      </c>
      <c r="B30" s="18"/>
      <c r="C30" s="18"/>
      <c r="D30" s="18"/>
      <c r="E30" s="18"/>
      <c r="F30" s="18" t="n">
        <v>0.826388888888889</v>
      </c>
      <c r="G30" s="18" t="n">
        <v>0.576388888888889</v>
      </c>
      <c r="H30" s="18" t="n">
        <v>0.784722222222222</v>
      </c>
      <c r="I30" s="18"/>
      <c r="J30" s="18"/>
      <c r="K30" s="18"/>
      <c r="L30" s="18"/>
      <c r="M30" s="18" t="n">
        <v>0.826388888888889</v>
      </c>
      <c r="N30" s="18" t="n">
        <v>0.469444444444444</v>
      </c>
      <c r="O30" s="18" t="n">
        <v>0.784722222222222</v>
      </c>
      <c r="P30" s="18"/>
      <c r="Q30" s="18"/>
      <c r="R30" s="18"/>
      <c r="S30" s="18"/>
      <c r="T30" s="18" t="n">
        <v>0.826388888888889</v>
      </c>
      <c r="U30" s="18" t="n">
        <v>0.576388888888889</v>
      </c>
      <c r="V30" s="18" t="n">
        <v>0.784722222222222</v>
      </c>
      <c r="W30" s="18"/>
      <c r="X30" s="18"/>
      <c r="Y30" s="18"/>
      <c r="Z30" s="18"/>
      <c r="AA30" s="18" t="n">
        <v>0.826388888888889</v>
      </c>
      <c r="AB30" s="18"/>
      <c r="AC30" s="18" t="n">
        <v>0.784722222222222</v>
      </c>
      <c r="AD30" s="18"/>
      <c r="AE30" s="18"/>
      <c r="AF30" s="18"/>
      <c r="AG30" s="13"/>
      <c r="AH30" s="13"/>
    </row>
    <row r="31" customFormat="false" ht="15" hidden="false" customHeight="true" outlineLevel="0" collapsed="false">
      <c r="A31" s="11" t="s">
        <v>35</v>
      </c>
      <c r="B31" s="12" t="n">
        <f aca="false">(B33-B32)</f>
        <v>0</v>
      </c>
      <c r="C31" s="12" t="n">
        <f aca="false">(C33-C32)</f>
        <v>0</v>
      </c>
      <c r="D31" s="12" t="n">
        <f aca="false">(D33-D32)</f>
        <v>0</v>
      </c>
      <c r="E31" s="12" t="n">
        <f aca="false">(E33-E32)</f>
        <v>0</v>
      </c>
      <c r="F31" s="12" t="n">
        <f aca="false">(F33-F32)</f>
        <v>0</v>
      </c>
      <c r="G31" s="12" t="n">
        <f aca="false">(G33-G32)</f>
        <v>0</v>
      </c>
      <c r="H31" s="12" t="n">
        <f aca="false">(H33-H32)</f>
        <v>0</v>
      </c>
      <c r="I31" s="12" t="n">
        <f aca="false">(I33-I32)</f>
        <v>0</v>
      </c>
      <c r="J31" s="12" t="n">
        <f aca="false">(J33-J32)</f>
        <v>0</v>
      </c>
      <c r="K31" s="12" t="n">
        <f aca="false">(K33-K32)</f>
        <v>0</v>
      </c>
      <c r="L31" s="12" t="n">
        <f aca="false">(L33-L32)</f>
        <v>0</v>
      </c>
      <c r="M31" s="12" t="n">
        <f aca="false">(M33-M32)</f>
        <v>0</v>
      </c>
      <c r="N31" s="12" t="n">
        <f aca="false">(N33-N32)</f>
        <v>0</v>
      </c>
      <c r="O31" s="12" t="n">
        <f aca="false">(O33-O32)</f>
        <v>0</v>
      </c>
      <c r="P31" s="12" t="n">
        <f aca="false">(P33-P32)</f>
        <v>0</v>
      </c>
      <c r="Q31" s="12" t="n">
        <f aca="false">(Q33-Q32)</f>
        <v>0</v>
      </c>
      <c r="R31" s="12" t="n">
        <f aca="false">(R33-R32)</f>
        <v>0</v>
      </c>
      <c r="S31" s="12" t="n">
        <f aca="false">(S33-S32)</f>
        <v>0</v>
      </c>
      <c r="T31" s="12" t="n">
        <f aca="false">(T33-T32)</f>
        <v>0</v>
      </c>
      <c r="U31" s="12" t="n">
        <f aca="false">(U33-U32)</f>
        <v>0</v>
      </c>
      <c r="V31" s="12" t="n">
        <f aca="false">(V33-V32)</f>
        <v>0</v>
      </c>
      <c r="W31" s="12" t="n">
        <f aca="false">(W33-W32)</f>
        <v>0</v>
      </c>
      <c r="X31" s="12" t="n">
        <f aca="false">(X33-X32)</f>
        <v>0</v>
      </c>
      <c r="Y31" s="12" t="n">
        <f aca="false">(Y33-Y32)</f>
        <v>0</v>
      </c>
      <c r="Z31" s="12" t="n">
        <f aca="false">(Z33-Z32)</f>
        <v>0</v>
      </c>
      <c r="AA31" s="12" t="n">
        <f aca="false">(AA33-AA32)</f>
        <v>0</v>
      </c>
      <c r="AB31" s="12" t="n">
        <f aca="false">(AB33-AB32)</f>
        <v>0</v>
      </c>
      <c r="AC31" s="12" t="n">
        <f aca="false">(AC33-AC32)</f>
        <v>0</v>
      </c>
      <c r="AD31" s="12" t="n">
        <f aca="false">(AD33-AD32)</f>
        <v>0</v>
      </c>
      <c r="AE31" s="12" t="n">
        <f aca="false">(AE33-AE32)</f>
        <v>0</v>
      </c>
      <c r="AF31" s="12" t="n">
        <f aca="false">(AF33-AF32)</f>
        <v>0</v>
      </c>
      <c r="AG31" s="13" t="n">
        <f aca="false">COUNTIF(B31:AF31,"&gt;0")</f>
        <v>0</v>
      </c>
      <c r="AH31" s="14" t="n">
        <v>0</v>
      </c>
    </row>
    <row r="32" customFormat="false" ht="15" hidden="false" customHeight="true" outlineLevel="0" collapsed="false">
      <c r="A32" s="15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3"/>
      <c r="AH32" s="13"/>
    </row>
    <row r="33" customFormat="false" ht="15" hidden="false" customHeight="true" outlineLevel="0" collapsed="false">
      <c r="A33" s="17" t="s">
        <v>37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3"/>
      <c r="AH33" s="13"/>
    </row>
    <row r="34" customFormat="false" ht="1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customFormat="false" ht="12.65" hidden="false" customHeight="false" outlineLevel="0" collapsed="false">
      <c r="A35" s="20" t="s">
        <v>38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"/>
      <c r="AD35" s="21"/>
      <c r="AE35" s="21"/>
      <c r="AF35" s="21"/>
      <c r="AG35" s="21"/>
      <c r="AH35" s="21"/>
      <c r="AI35" s="1"/>
    </row>
    <row r="36" customFormat="false" ht="12.6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1"/>
      <c r="AD36" s="21"/>
      <c r="AE36" s="21"/>
      <c r="AF36" s="21"/>
      <c r="AG36" s="8"/>
      <c r="AH36" s="8"/>
      <c r="AI36" s="1"/>
    </row>
    <row r="37" customFormat="false" ht="12.65" hidden="false" customHeight="false" outlineLevel="0" collapsed="false">
      <c r="A37" s="20" t="s">
        <v>39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 t="s">
        <v>40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"/>
      <c r="AD37" s="21"/>
      <c r="AE37" s="21"/>
      <c r="AF37" s="21"/>
      <c r="AG37" s="22"/>
      <c r="AH37" s="22"/>
      <c r="AI37" s="1"/>
    </row>
    <row r="38" customFormat="false" ht="12.6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1"/>
      <c r="AD38" s="21"/>
      <c r="AE38" s="21"/>
      <c r="AF38" s="21"/>
      <c r="AG38" s="23"/>
      <c r="AH38" s="23"/>
      <c r="AI38" s="1"/>
    </row>
    <row r="39" customFormat="false" ht="12.65" hidden="false" customHeight="false" outlineLevel="0" collapsed="false">
      <c r="A39" s="20"/>
      <c r="B39" s="20" t="s">
        <v>41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 t="s">
        <v>42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1"/>
      <c r="AD39" s="21"/>
      <c r="AE39" s="21"/>
      <c r="AF39" s="21"/>
      <c r="AG39" s="24"/>
      <c r="AH39" s="24"/>
      <c r="AI39" s="1"/>
    </row>
    <row r="40" customFormat="false" ht="12.6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1"/>
      <c r="AD40" s="21"/>
      <c r="AE40" s="21"/>
      <c r="AF40" s="21"/>
      <c r="AG40" s="24"/>
      <c r="AH40" s="24"/>
      <c r="AI40" s="1"/>
    </row>
    <row r="41" customFormat="false" ht="16.25" hidden="false" customHeight="true" outlineLevel="0" collapsed="false">
      <c r="A41" s="20" t="s">
        <v>43</v>
      </c>
      <c r="B41" s="20" t="s">
        <v>44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 t="s">
        <v>45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1"/>
      <c r="AD41" s="21"/>
      <c r="AE41" s="21"/>
      <c r="AF41" s="21"/>
      <c r="AG41" s="23"/>
      <c r="AH41" s="23"/>
      <c r="AI41" s="1"/>
    </row>
    <row r="42" customFormat="false" ht="22.05" hidden="false" customHeight="true" outlineLevel="0" collapsed="false">
      <c r="A42" s="20" t="s">
        <v>46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1"/>
      <c r="AD42" s="21"/>
      <c r="AE42" s="21"/>
      <c r="AF42" s="21"/>
      <c r="AG42" s="24"/>
      <c r="AH42" s="24"/>
      <c r="AI42" s="1"/>
    </row>
    <row r="43" customFormat="false" ht="14.15" hidden="false" customHeight="true" outlineLevel="0" collapsed="false">
      <c r="A43" s="20" t="s">
        <v>47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 t="s">
        <v>48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21"/>
      <c r="AE43" s="21"/>
      <c r="AF43" s="21"/>
      <c r="AG43" s="24"/>
      <c r="AH43" s="24"/>
      <c r="AI43" s="1"/>
    </row>
    <row r="44" customFormat="false" ht="11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1"/>
      <c r="AD44" s="21"/>
      <c r="AE44" s="21"/>
      <c r="AF44" s="21"/>
      <c r="AG44" s="23"/>
      <c r="AH44" s="23"/>
      <c r="AI44" s="1"/>
    </row>
    <row r="45" customFormat="false" ht="16.25" hidden="false" customHeight="true" outlineLevel="0" collapsed="false">
      <c r="A45" s="25" t="s">
        <v>49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1"/>
      <c r="Y45" s="21"/>
      <c r="Z45" s="21"/>
      <c r="AA45" s="21"/>
      <c r="AB45" s="21"/>
      <c r="AC45" s="21"/>
      <c r="AD45" s="21"/>
      <c r="AE45" s="21"/>
      <c r="AF45" s="21"/>
      <c r="AG45" s="24"/>
      <c r="AH45" s="24"/>
      <c r="AI45" s="1"/>
    </row>
    <row r="46" customFormat="false" ht="11.5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4"/>
      <c r="AH46" s="24"/>
      <c r="AI46" s="1"/>
    </row>
    <row r="47" customFormat="false" ht="16.8" hidden="false" customHeight="true" outlineLevel="0" collapsed="false">
      <c r="A47" s="20" t="s">
        <v>38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1"/>
      <c r="AD47" s="21"/>
      <c r="AE47" s="21"/>
      <c r="AF47" s="21"/>
      <c r="AG47" s="21"/>
      <c r="AH47" s="21"/>
      <c r="AI47" s="1"/>
    </row>
    <row r="48" customFormat="false" ht="7.5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1"/>
      <c r="AD48" s="21"/>
      <c r="AE48" s="21"/>
      <c r="AF48" s="21"/>
      <c r="AG48" s="8"/>
      <c r="AH48" s="8"/>
      <c r="AI48" s="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4">
    <mergeCell ref="A2:X2"/>
    <mergeCell ref="AB2:AH2"/>
    <mergeCell ref="A3:X3"/>
    <mergeCell ref="AB3:AH3"/>
    <mergeCell ref="A4:X4"/>
    <mergeCell ref="AB4:AH4"/>
    <mergeCell ref="A5:X5"/>
    <mergeCell ref="AB5:AH5"/>
    <mergeCell ref="AG9:AG11"/>
    <mergeCell ref="AH9:AH11"/>
    <mergeCell ref="AG13:AG15"/>
    <mergeCell ref="AH13:AH15"/>
    <mergeCell ref="AG16:AG18"/>
    <mergeCell ref="AH16:AH18"/>
    <mergeCell ref="AG19:AG21"/>
    <mergeCell ref="AH19:AH21"/>
    <mergeCell ref="AG22:AG24"/>
    <mergeCell ref="AH22:AH24"/>
    <mergeCell ref="AG25:AG27"/>
    <mergeCell ref="AH25:AH27"/>
    <mergeCell ref="AG28:AG30"/>
    <mergeCell ref="AH28:AH30"/>
    <mergeCell ref="AG31:AG33"/>
    <mergeCell ref="AH31:AH33"/>
  </mergeCells>
  <printOptions headings="false" gridLines="false" gridLinesSet="true" horizontalCentered="false" verticalCentered="false"/>
  <pageMargins left="0.25" right="0.25" top="0.2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3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2023-12-27T10:44:09Z</dcterms:created>
  <dc:creator>Apache POI</dc:creator>
  <dc:description/>
  <dc:language>ru-RU</dc:language>
  <cp:lastModifiedBy/>
  <cp:lastPrinted>2025-06-12T09:10:39Z</cp:lastPrinted>
  <dcterms:modified xsi:type="dcterms:W3CDTF">2025-06-12T09:10:13Z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