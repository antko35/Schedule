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user\RiderProjects\Schedule\"/>
    </mc:Choice>
  </mc:AlternateContent>
  <xr:revisionPtr revIDLastSave="0" documentId="13_ncr:1_{A30839D5-0FB8-423A-AAF4-FB587A11695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F15" i="1" l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K15" i="1"/>
  <c r="J15" i="1"/>
  <c r="I15" i="1"/>
  <c r="H15" i="1"/>
  <c r="G15" i="1"/>
  <c r="F15" i="1"/>
  <c r="E15" i="1"/>
  <c r="D15" i="1"/>
  <c r="C15" i="1"/>
  <c r="B15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AG9" i="1" s="1"/>
  <c r="C9" i="1"/>
  <c r="B9" i="1"/>
  <c r="AG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date</author>
    <author>employeeId</author>
  </authors>
  <commentList>
    <comment ref="B8" authorId="0" shapeId="0" xr:uid="{00000000-0006-0000-0000-000008000000}">
      <text>
        <r>
          <rPr>
            <sz val="10"/>
            <rFont val="Arial"/>
            <family val="2"/>
            <charset val="204"/>
          </rPr>
          <t>01.01.2025</t>
        </r>
      </text>
    </comment>
    <comment ref="C8" authorId="0" shapeId="0" xr:uid="{00000000-0006-0000-0000-000009000000}">
      <text>
        <r>
          <rPr>
            <sz val="10"/>
            <rFont val="Arial"/>
            <family val="2"/>
            <charset val="204"/>
          </rPr>
          <t>02.01.2025</t>
        </r>
      </text>
    </comment>
    <comment ref="D8" authorId="0" shapeId="0" xr:uid="{00000000-0006-0000-0000-00000A000000}">
      <text>
        <r>
          <rPr>
            <sz val="10"/>
            <rFont val="Arial"/>
            <family val="2"/>
            <charset val="204"/>
          </rPr>
          <t>03.01.2025</t>
        </r>
      </text>
    </comment>
    <comment ref="E8" authorId="0" shapeId="0" xr:uid="{00000000-0006-0000-0000-00000B000000}">
      <text>
        <r>
          <rPr>
            <sz val="10"/>
            <rFont val="Arial"/>
            <family val="2"/>
            <charset val="204"/>
          </rPr>
          <t>04.01.2025</t>
        </r>
      </text>
    </comment>
    <comment ref="F8" authorId="0" shapeId="0" xr:uid="{00000000-0006-0000-0000-00000C000000}">
      <text>
        <r>
          <rPr>
            <sz val="10"/>
            <rFont val="Arial"/>
            <family val="2"/>
            <charset val="204"/>
          </rPr>
          <t>05.01.2025</t>
        </r>
      </text>
    </comment>
    <comment ref="G8" authorId="0" shapeId="0" xr:uid="{00000000-0006-0000-0000-00000D000000}">
      <text>
        <r>
          <rPr>
            <sz val="10"/>
            <rFont val="Arial"/>
            <family val="2"/>
            <charset val="204"/>
          </rPr>
          <t>06.01.2025</t>
        </r>
      </text>
    </comment>
    <comment ref="H8" authorId="0" shapeId="0" xr:uid="{00000000-0006-0000-0000-00000E000000}">
      <text>
        <r>
          <rPr>
            <sz val="10"/>
            <rFont val="Arial"/>
            <family val="2"/>
            <charset val="204"/>
          </rPr>
          <t>07.01.2025</t>
        </r>
      </text>
    </comment>
    <comment ref="I8" authorId="0" shapeId="0" xr:uid="{00000000-0006-0000-0000-00000F000000}">
      <text>
        <r>
          <rPr>
            <sz val="10"/>
            <rFont val="Arial"/>
            <family val="2"/>
            <charset val="204"/>
          </rPr>
          <t>08.01.2025</t>
        </r>
      </text>
    </comment>
    <comment ref="J8" authorId="0" shapeId="0" xr:uid="{00000000-0006-0000-0000-000010000000}">
      <text>
        <r>
          <rPr>
            <sz val="10"/>
            <rFont val="Arial"/>
            <family val="2"/>
            <charset val="204"/>
          </rPr>
          <t>09.01.2025</t>
        </r>
      </text>
    </comment>
    <comment ref="K8" authorId="0" shapeId="0" xr:uid="{00000000-0006-0000-0000-000011000000}">
      <text>
        <r>
          <rPr>
            <sz val="10"/>
            <rFont val="Arial"/>
            <family val="2"/>
            <charset val="204"/>
          </rPr>
          <t>10.01.2025</t>
        </r>
      </text>
    </comment>
    <comment ref="L8" authorId="0" shapeId="0" xr:uid="{00000000-0006-0000-0000-000012000000}">
      <text>
        <r>
          <rPr>
            <sz val="10"/>
            <rFont val="Arial"/>
            <family val="2"/>
            <charset val="204"/>
          </rPr>
          <t>11.01.2025</t>
        </r>
      </text>
    </comment>
    <comment ref="M8" authorId="0" shapeId="0" xr:uid="{00000000-0006-0000-0000-000013000000}">
      <text>
        <r>
          <rPr>
            <sz val="10"/>
            <rFont val="Arial"/>
            <family val="2"/>
            <charset val="204"/>
          </rPr>
          <t>12.01.2025</t>
        </r>
      </text>
    </comment>
    <comment ref="N8" authorId="0" shapeId="0" xr:uid="{00000000-0006-0000-0000-000014000000}">
      <text>
        <r>
          <rPr>
            <sz val="10"/>
            <rFont val="Arial"/>
            <family val="2"/>
            <charset val="204"/>
          </rPr>
          <t>13.01.2025</t>
        </r>
      </text>
    </comment>
    <comment ref="O8" authorId="0" shapeId="0" xr:uid="{00000000-0006-0000-0000-000015000000}">
      <text>
        <r>
          <rPr>
            <sz val="10"/>
            <rFont val="Arial"/>
            <family val="2"/>
            <charset val="204"/>
          </rPr>
          <t>14.01.2025</t>
        </r>
      </text>
    </comment>
    <comment ref="P8" authorId="0" shapeId="0" xr:uid="{00000000-0006-0000-0000-000016000000}">
      <text>
        <r>
          <rPr>
            <sz val="10"/>
            <rFont val="Arial"/>
            <family val="2"/>
            <charset val="204"/>
          </rPr>
          <t>15.01.2025</t>
        </r>
      </text>
    </comment>
    <comment ref="Q8" authorId="0" shapeId="0" xr:uid="{00000000-0006-0000-0000-000017000000}">
      <text>
        <r>
          <rPr>
            <sz val="10"/>
            <rFont val="Arial"/>
            <family val="2"/>
            <charset val="204"/>
          </rPr>
          <t>16.01.2025</t>
        </r>
      </text>
    </comment>
    <comment ref="R8" authorId="0" shapeId="0" xr:uid="{00000000-0006-0000-0000-000018000000}">
      <text>
        <r>
          <rPr>
            <sz val="10"/>
            <rFont val="Arial"/>
            <family val="2"/>
            <charset val="204"/>
          </rPr>
          <t>17.01.2025</t>
        </r>
      </text>
    </comment>
    <comment ref="S8" authorId="0" shapeId="0" xr:uid="{00000000-0006-0000-0000-000019000000}">
      <text>
        <r>
          <rPr>
            <sz val="10"/>
            <rFont val="Arial"/>
            <family val="2"/>
            <charset val="204"/>
          </rPr>
          <t>18.01.2025</t>
        </r>
      </text>
    </comment>
    <comment ref="T8" authorId="0" shapeId="0" xr:uid="{00000000-0006-0000-0000-00001A000000}">
      <text>
        <r>
          <rPr>
            <sz val="10"/>
            <rFont val="Arial"/>
            <family val="2"/>
            <charset val="204"/>
          </rPr>
          <t>19.01.2025</t>
        </r>
      </text>
    </comment>
    <comment ref="U8" authorId="0" shapeId="0" xr:uid="{00000000-0006-0000-0000-00001B000000}">
      <text>
        <r>
          <rPr>
            <sz val="10"/>
            <rFont val="Arial"/>
            <family val="2"/>
            <charset val="204"/>
          </rPr>
          <t>20.01.2025</t>
        </r>
      </text>
    </comment>
    <comment ref="V8" authorId="0" shapeId="0" xr:uid="{00000000-0006-0000-0000-00001C000000}">
      <text>
        <r>
          <rPr>
            <sz val="10"/>
            <rFont val="Arial"/>
            <family val="2"/>
            <charset val="204"/>
          </rPr>
          <t>21.01.2025</t>
        </r>
      </text>
    </comment>
    <comment ref="W8" authorId="0" shapeId="0" xr:uid="{00000000-0006-0000-0000-00001D000000}">
      <text>
        <r>
          <rPr>
            <sz val="10"/>
            <rFont val="Arial"/>
            <family val="2"/>
            <charset val="204"/>
          </rPr>
          <t>22.01.2025</t>
        </r>
      </text>
    </comment>
    <comment ref="X8" authorId="0" shapeId="0" xr:uid="{00000000-0006-0000-0000-00001E000000}">
      <text>
        <r>
          <rPr>
            <sz val="10"/>
            <rFont val="Arial"/>
            <family val="2"/>
            <charset val="204"/>
          </rPr>
          <t>23.01.2025</t>
        </r>
      </text>
    </comment>
    <comment ref="Y8" authorId="0" shapeId="0" xr:uid="{00000000-0006-0000-0000-00001F000000}">
      <text>
        <r>
          <rPr>
            <sz val="10"/>
            <rFont val="Arial"/>
            <family val="2"/>
            <charset val="204"/>
          </rPr>
          <t>24.01.2025</t>
        </r>
      </text>
    </comment>
    <comment ref="Z8" authorId="0" shapeId="0" xr:uid="{00000000-0006-0000-0000-000020000000}">
      <text>
        <r>
          <rPr>
            <sz val="10"/>
            <rFont val="Arial"/>
            <family val="2"/>
            <charset val="204"/>
          </rPr>
          <t>25.01.2025</t>
        </r>
      </text>
    </comment>
    <comment ref="AA8" authorId="0" shapeId="0" xr:uid="{00000000-0006-0000-0000-000021000000}">
      <text>
        <r>
          <rPr>
            <sz val="10"/>
            <rFont val="Arial"/>
            <family val="2"/>
            <charset val="204"/>
          </rPr>
          <t>26.01.2025</t>
        </r>
      </text>
    </comment>
    <comment ref="AB8" authorId="0" shapeId="0" xr:uid="{00000000-0006-0000-0000-000022000000}">
      <text>
        <r>
          <rPr>
            <sz val="10"/>
            <rFont val="Arial"/>
            <family val="2"/>
            <charset val="204"/>
          </rPr>
          <t>27.01.2025</t>
        </r>
      </text>
    </comment>
    <comment ref="AC8" authorId="0" shapeId="0" xr:uid="{00000000-0006-0000-0000-000023000000}">
      <text>
        <r>
          <rPr>
            <sz val="10"/>
            <rFont val="Arial"/>
            <family val="2"/>
            <charset val="204"/>
          </rPr>
          <t>28.01.2025</t>
        </r>
      </text>
    </comment>
    <comment ref="AD8" authorId="0" shapeId="0" xr:uid="{00000000-0006-0000-0000-000024000000}">
      <text>
        <r>
          <rPr>
            <sz val="10"/>
            <rFont val="Arial"/>
            <family val="2"/>
            <charset val="204"/>
          </rPr>
          <t>29.01.2025</t>
        </r>
      </text>
    </comment>
    <comment ref="AE8" authorId="0" shapeId="0" xr:uid="{00000000-0006-0000-0000-000025000000}">
      <text>
        <r>
          <rPr>
            <sz val="10"/>
            <rFont val="Arial"/>
            <family val="2"/>
            <charset val="204"/>
          </rPr>
          <t>30.01.2025</t>
        </r>
      </text>
    </comment>
    <comment ref="AF8" authorId="0" shapeId="0" xr:uid="{00000000-0006-0000-0000-000026000000}">
      <text>
        <r>
          <rPr>
            <sz val="10"/>
            <rFont val="Arial"/>
            <family val="2"/>
            <charset val="204"/>
          </rPr>
          <t>31.01.2025</t>
        </r>
      </text>
    </comment>
    <comment ref="A9" authorId="1" shapeId="0" xr:uid="{00000000-0006-0000-0000-000001000000}">
      <text>
        <r>
          <rPr>
            <sz val="10"/>
            <rFont val="Arial"/>
            <family val="2"/>
            <charset val="204"/>
          </rPr>
          <t>5dc5c9b5-78ae-455e-8ece-808763255e03</t>
        </r>
      </text>
    </comment>
    <comment ref="A12" authorId="1" shapeId="0" xr:uid="{DF66ED09-9160-4D79-BABE-FFAB942818DD}">
      <text>
        <r>
          <rPr>
            <sz val="10"/>
            <rFont val="Arial"/>
            <family val="2"/>
            <charset val="204"/>
          </rPr>
          <t>5dc5c9b5-78ae-455e-8ece-808763255e03</t>
        </r>
      </text>
    </comment>
    <comment ref="A15" authorId="1" shapeId="0" xr:uid="{243A3C60-8D20-4A40-A2D4-25B9E4C088D9}">
      <text>
        <r>
          <rPr>
            <sz val="10"/>
            <rFont val="Arial"/>
            <family val="2"/>
            <charset val="204"/>
          </rPr>
          <t>5dc5c9b5-78ae-455e-8ece-808763255e03</t>
        </r>
      </text>
    </comment>
  </commentList>
</comments>
</file>

<file path=xl/sharedStrings.xml><?xml version="1.0" encoding="utf-8"?>
<sst xmlns="http://schemas.openxmlformats.org/spreadsheetml/2006/main" count="64" uniqueCount="36">
  <si>
    <t xml:space="preserve">Государственное учреждение </t>
  </si>
  <si>
    <t>УТВЕРЖДАЮ</t>
  </si>
  <si>
    <t>Республиканский центр медицинской реабилитации и бальнеолечения</t>
  </si>
  <si>
    <t xml:space="preserve">Заместитель главного врача по курации </t>
  </si>
  <si>
    <t xml:space="preserve">Дрозд И. С. </t>
  </si>
  <si>
    <t>15  июня  2025 г.</t>
  </si>
  <si>
    <t>пт</t>
  </si>
  <si>
    <t>сб</t>
  </si>
  <si>
    <t>вс</t>
  </si>
  <si>
    <t>пн</t>
  </si>
  <si>
    <t>вт</t>
  </si>
  <si>
    <t>ср</t>
  </si>
  <si>
    <t>чт</t>
  </si>
  <si>
    <t>Сотрудник</t>
  </si>
  <si>
    <t>Дней</t>
  </si>
  <si>
    <t>Часов</t>
  </si>
  <si>
    <t xml:space="preserve">1.0 ст. </t>
  </si>
  <si>
    <t>0,4 ст.</t>
  </si>
  <si>
    <t xml:space="preserve">Перерыв для отдыха и питания предоставляется в течение рабочего дня продолжительностью не менее 20 минут  и в ключается в рабочее  время </t>
  </si>
  <si>
    <t>И.С. Лидяева</t>
  </si>
  <si>
    <t>Врач-стоматолог-терапевт ( заведующий)</t>
  </si>
  <si>
    <t xml:space="preserve">О.Н. Ковшер </t>
  </si>
  <si>
    <t xml:space="preserve">Проверил : </t>
  </si>
  <si>
    <t xml:space="preserve">Ведущий  Экономист ПЭО </t>
  </si>
  <si>
    <t xml:space="preserve">И.А. Горшунова </t>
  </si>
  <si>
    <t xml:space="preserve">СОГЛАСОВАНО </t>
  </si>
  <si>
    <t xml:space="preserve">Председатель профсоюзного комитета </t>
  </si>
  <si>
    <t>И.А.Груша</t>
  </si>
  <si>
    <t>График работы на {MONTH} {YEAR}</t>
  </si>
  <si>
    <t>{DepartmentName}</t>
  </si>
  <si>
    <t>{Doctor 1}</t>
  </si>
  <si>
    <t>{Должность}</t>
  </si>
  <si>
    <t>{Doctor 2}</t>
  </si>
  <si>
    <t>{Doctor 3}</t>
  </si>
  <si>
    <t>График составил : {WhoCreate}</t>
  </si>
  <si>
    <t xml:space="preserve">___ ___________{year}.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</si>
</sst>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5"/>
      <color rgb="FF000000"/>
      <name val="Calibri"/>
      <family val="2"/>
      <charset val="1"/>
    </font>
    <font>
      <b/>
      <sz val="12"/>
      <name val="Arial"/>
      <charset val="1"/>
    </font>
    <font>
      <sz val="10"/>
      <name val="Arial"/>
      <charset val="1"/>
    </font>
    <font>
      <sz val="6"/>
      <name val="Arial"/>
      <charset val="1"/>
    </font>
    <font>
      <sz val="8"/>
      <name val="Arial"/>
      <charset val="1"/>
    </font>
    <font>
      <sz val="5"/>
      <name val="Arial"/>
      <charset val="1"/>
    </font>
    <font>
      <b/>
      <sz val="5"/>
      <name val="Arial"/>
      <charset val="1"/>
    </font>
    <font>
      <i/>
      <sz val="5"/>
      <color rgb="FF737373"/>
      <name val="Arial"/>
      <charset val="1"/>
    </font>
    <font>
      <sz val="12"/>
      <color rgb="FF000000"/>
      <name val="Calibri"/>
      <family val="2"/>
      <charset val="1"/>
    </font>
    <font>
      <sz val="10"/>
      <color rgb="FF000000"/>
      <name val="Arial"/>
      <family val="2"/>
      <charset val="204"/>
    </font>
    <font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 applyProtection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8" xfId="0" applyFont="1" applyBorder="1" applyAlignment="1" applyProtection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3" fillId="0" borderId="0" xfId="0" applyFont="1" applyAlignment="1">
      <alignment horizontal="center" vertical="center" wrapText="1"/>
    </xf>
    <xf numFmtId="0" fontId="6" fillId="0" borderId="0" xfId="0" applyFont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center" vertical="center" wrapText="1"/>
    </xf>
    <xf numFmtId="0" fontId="1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37373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48575"/>
  <sheetViews>
    <sheetView tabSelected="1" zoomScale="120" zoomScaleNormal="120" workbookViewId="0">
      <selection activeCell="N30" sqref="N30"/>
    </sheetView>
  </sheetViews>
  <sheetFormatPr defaultColWidth="9.5" defaultRowHeight="7.5" customHeight="1" x14ac:dyDescent="0.15"/>
  <cols>
    <col min="1" max="1" width="25.5" customWidth="1"/>
    <col min="2" max="30" width="8.5" customWidth="1"/>
    <col min="31" max="31" width="7.25" customWidth="1"/>
    <col min="32" max="32" width="7" customWidth="1"/>
    <col min="33" max="33" width="7.75" customWidth="1"/>
    <col min="34" max="34" width="12.5" customWidth="1"/>
  </cols>
  <sheetData>
    <row r="1" spans="1:34" ht="6" customHeight="1" x14ac:dyDescent="0.15"/>
    <row r="2" spans="1:34" ht="18.75" customHeight="1" x14ac:dyDescent="0.3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AB2" s="7" t="s">
        <v>1</v>
      </c>
      <c r="AC2" s="7"/>
      <c r="AD2" s="7"/>
      <c r="AE2" s="7"/>
      <c r="AF2" s="7"/>
      <c r="AG2" s="7"/>
      <c r="AH2" s="7"/>
    </row>
    <row r="3" spans="1:34" ht="14.25" customHeight="1" x14ac:dyDescent="0.3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AB3" s="6" t="s">
        <v>3</v>
      </c>
      <c r="AC3" s="6"/>
      <c r="AD3" s="6"/>
      <c r="AE3" s="6"/>
      <c r="AF3" s="6"/>
      <c r="AG3" s="6"/>
      <c r="AH3" s="6"/>
    </row>
    <row r="4" spans="1:34" ht="15.75" customHeight="1" x14ac:dyDescent="0.3">
      <c r="A4" s="5" t="s">
        <v>28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AB4" s="4" t="s">
        <v>4</v>
      </c>
      <c r="AC4" s="4"/>
      <c r="AD4" s="4"/>
      <c r="AE4" s="4"/>
      <c r="AF4" s="4"/>
      <c r="AG4" s="4"/>
      <c r="AH4" s="4"/>
    </row>
    <row r="5" spans="1:34" ht="17.25" customHeight="1" x14ac:dyDescent="0.3">
      <c r="A5" s="5" t="s">
        <v>29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AB5" s="3" t="s">
        <v>5</v>
      </c>
      <c r="AC5" s="3"/>
      <c r="AD5" s="3"/>
      <c r="AE5" s="3"/>
      <c r="AF5" s="3"/>
      <c r="AG5" s="3"/>
      <c r="AH5" s="3"/>
    </row>
    <row r="6" spans="1:34" ht="15" customHeight="1" x14ac:dyDescent="0.15"/>
    <row r="7" spans="1:34" ht="9" customHeight="1" x14ac:dyDescent="0.15">
      <c r="B7" s="9" t="s">
        <v>6</v>
      </c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  <c r="I7" s="9" t="s">
        <v>6</v>
      </c>
      <c r="J7" s="9" t="s">
        <v>7</v>
      </c>
      <c r="K7" s="9" t="s">
        <v>8</v>
      </c>
      <c r="L7" s="9" t="s">
        <v>9</v>
      </c>
      <c r="M7" s="9" t="s">
        <v>10</v>
      </c>
      <c r="N7" s="9" t="s">
        <v>11</v>
      </c>
      <c r="O7" s="9" t="s">
        <v>12</v>
      </c>
      <c r="P7" s="9" t="s">
        <v>6</v>
      </c>
      <c r="Q7" s="9" t="s">
        <v>7</v>
      </c>
      <c r="R7" s="9" t="s">
        <v>8</v>
      </c>
      <c r="S7" s="9" t="s">
        <v>9</v>
      </c>
      <c r="T7" s="9" t="s">
        <v>10</v>
      </c>
      <c r="U7" s="9" t="s">
        <v>11</v>
      </c>
      <c r="V7" s="9" t="s">
        <v>12</v>
      </c>
      <c r="W7" s="9" t="s">
        <v>6</v>
      </c>
      <c r="X7" s="9" t="s">
        <v>7</v>
      </c>
      <c r="Y7" s="9" t="s">
        <v>8</v>
      </c>
      <c r="Z7" s="9" t="s">
        <v>9</v>
      </c>
      <c r="AA7" s="9" t="s">
        <v>10</v>
      </c>
      <c r="AB7" s="9" t="s">
        <v>11</v>
      </c>
      <c r="AC7" s="9" t="s">
        <v>12</v>
      </c>
      <c r="AD7" s="9" t="s">
        <v>6</v>
      </c>
      <c r="AE7" s="9" t="s">
        <v>7</v>
      </c>
      <c r="AF7" s="9" t="s">
        <v>8</v>
      </c>
    </row>
    <row r="8" spans="1:34" ht="9.75" customHeight="1" x14ac:dyDescent="0.15">
      <c r="A8" s="10" t="s">
        <v>13</v>
      </c>
      <c r="B8" s="11">
        <v>1</v>
      </c>
      <c r="C8" s="11">
        <v>2</v>
      </c>
      <c r="D8" s="11">
        <v>3</v>
      </c>
      <c r="E8" s="11">
        <v>4</v>
      </c>
      <c r="F8" s="11">
        <v>5</v>
      </c>
      <c r="G8" s="11">
        <v>6</v>
      </c>
      <c r="H8" s="11">
        <v>7</v>
      </c>
      <c r="I8" s="11">
        <v>8</v>
      </c>
      <c r="J8" s="11">
        <v>9</v>
      </c>
      <c r="K8" s="11">
        <v>10</v>
      </c>
      <c r="L8" s="11">
        <v>11</v>
      </c>
      <c r="M8" s="11">
        <v>12</v>
      </c>
      <c r="N8" s="11">
        <v>13</v>
      </c>
      <c r="O8" s="11">
        <v>14</v>
      </c>
      <c r="P8" s="11">
        <v>15</v>
      </c>
      <c r="Q8" s="11">
        <v>16</v>
      </c>
      <c r="R8" s="11">
        <v>17</v>
      </c>
      <c r="S8" s="11">
        <v>18</v>
      </c>
      <c r="T8" s="11">
        <v>19</v>
      </c>
      <c r="U8" s="11">
        <v>20</v>
      </c>
      <c r="V8" s="11">
        <v>21</v>
      </c>
      <c r="W8" s="11">
        <v>22</v>
      </c>
      <c r="X8" s="11">
        <v>23</v>
      </c>
      <c r="Y8" s="11">
        <v>24</v>
      </c>
      <c r="Z8" s="11">
        <v>25</v>
      </c>
      <c r="AA8" s="11">
        <v>26</v>
      </c>
      <c r="AB8" s="11">
        <v>27</v>
      </c>
      <c r="AC8" s="11">
        <v>28</v>
      </c>
      <c r="AD8" s="11">
        <v>29</v>
      </c>
      <c r="AE8" s="11">
        <v>30</v>
      </c>
      <c r="AF8" s="11">
        <v>31</v>
      </c>
      <c r="AG8" s="10" t="s">
        <v>14</v>
      </c>
      <c r="AH8" s="10" t="s">
        <v>15</v>
      </c>
    </row>
    <row r="9" spans="1:34" ht="15" customHeight="1" x14ac:dyDescent="0.15">
      <c r="A9" s="12" t="s">
        <v>30</v>
      </c>
      <c r="B9" s="13">
        <f t="shared" ref="B9:AF9" si="0">(B11-B10)</f>
        <v>0.25000000000000006</v>
      </c>
      <c r="C9" s="13">
        <f t="shared" si="0"/>
        <v>0.20833333333333304</v>
      </c>
      <c r="D9" s="13">
        <f t="shared" si="0"/>
        <v>0</v>
      </c>
      <c r="E9" s="13">
        <f t="shared" si="0"/>
        <v>0.25000000000000006</v>
      </c>
      <c r="F9" s="13">
        <f t="shared" si="0"/>
        <v>0.27083333333333304</v>
      </c>
      <c r="G9" s="13">
        <f t="shared" si="0"/>
        <v>0.27083333333333398</v>
      </c>
      <c r="H9" s="13">
        <f t="shared" si="0"/>
        <v>0.27083333333333304</v>
      </c>
      <c r="I9" s="13">
        <f t="shared" si="0"/>
        <v>0.27499999999999997</v>
      </c>
      <c r="J9" s="13">
        <f t="shared" si="0"/>
        <v>0</v>
      </c>
      <c r="K9" s="13">
        <f t="shared" si="0"/>
        <v>0</v>
      </c>
      <c r="L9" s="13">
        <f t="shared" si="0"/>
        <v>0.27083333333333304</v>
      </c>
      <c r="M9" s="13">
        <f t="shared" si="0"/>
        <v>0.27083333333333398</v>
      </c>
      <c r="N9" s="13">
        <f t="shared" si="0"/>
        <v>0.27083333333333304</v>
      </c>
      <c r="O9" s="13">
        <f t="shared" si="0"/>
        <v>0.27083333333333398</v>
      </c>
      <c r="P9" s="13">
        <f t="shared" si="0"/>
        <v>0.25000000000000006</v>
      </c>
      <c r="Q9" s="13">
        <f t="shared" si="0"/>
        <v>0</v>
      </c>
      <c r="R9" s="13">
        <f t="shared" si="0"/>
        <v>0</v>
      </c>
      <c r="S9" s="13">
        <f t="shared" si="0"/>
        <v>0.25000000000000006</v>
      </c>
      <c r="T9" s="13">
        <f t="shared" si="0"/>
        <v>0.27083333333333304</v>
      </c>
      <c r="U9" s="13">
        <f t="shared" si="0"/>
        <v>0.27083333333333398</v>
      </c>
      <c r="V9" s="13">
        <f t="shared" si="0"/>
        <v>0.27083333333333304</v>
      </c>
      <c r="W9" s="13">
        <f t="shared" si="0"/>
        <v>0.25000000000000006</v>
      </c>
      <c r="X9" s="13">
        <f t="shared" si="0"/>
        <v>0</v>
      </c>
      <c r="Y9" s="13">
        <f t="shared" si="0"/>
        <v>0</v>
      </c>
      <c r="Z9" s="13">
        <f t="shared" si="0"/>
        <v>0.27083333333333304</v>
      </c>
      <c r="AA9" s="13">
        <f t="shared" si="0"/>
        <v>0.27083333333333398</v>
      </c>
      <c r="AB9" s="13">
        <f t="shared" si="0"/>
        <v>0.27083333333333304</v>
      </c>
      <c r="AC9" s="13">
        <f t="shared" si="0"/>
        <v>0.27083333333333398</v>
      </c>
      <c r="AD9" s="13">
        <f t="shared" si="0"/>
        <v>0.25000000000000006</v>
      </c>
      <c r="AE9" s="13">
        <f t="shared" si="0"/>
        <v>0</v>
      </c>
      <c r="AF9" s="13">
        <f t="shared" si="0"/>
        <v>0</v>
      </c>
      <c r="AG9" s="2">
        <f>COUNTIF(B9:AF9,"&gt;0")</f>
        <v>22</v>
      </c>
      <c r="AH9" s="1">
        <v>138.36000000000001</v>
      </c>
    </row>
    <row r="10" spans="1:34" ht="15" customHeight="1" x14ac:dyDescent="0.15">
      <c r="A10" s="14" t="s">
        <v>31</v>
      </c>
      <c r="B10" s="15">
        <v>0.33333333333333298</v>
      </c>
      <c r="C10" s="15">
        <v>0.375</v>
      </c>
      <c r="D10" s="15"/>
      <c r="E10" s="15">
        <v>0.33333333333333298</v>
      </c>
      <c r="F10" s="15">
        <v>0.5625</v>
      </c>
      <c r="G10" s="15">
        <v>0.33333333333333298</v>
      </c>
      <c r="H10" s="15">
        <v>0.5625</v>
      </c>
      <c r="I10" s="15">
        <v>0.33333333333333298</v>
      </c>
      <c r="J10" s="15"/>
      <c r="K10" s="15"/>
      <c r="L10" s="15">
        <v>0.5625</v>
      </c>
      <c r="M10" s="15">
        <v>0.33333333333333298</v>
      </c>
      <c r="N10" s="15">
        <v>0.5625</v>
      </c>
      <c r="O10" s="15">
        <v>0.33333333333333298</v>
      </c>
      <c r="P10" s="15">
        <v>0.33333333333333298</v>
      </c>
      <c r="Q10" s="15"/>
      <c r="R10" s="15"/>
      <c r="S10" s="15">
        <v>0.33333333333333298</v>
      </c>
      <c r="T10" s="15">
        <v>0.5625</v>
      </c>
      <c r="U10" s="15">
        <v>0.33333333333333298</v>
      </c>
      <c r="V10" s="15">
        <v>0.5625</v>
      </c>
      <c r="W10" s="15">
        <v>0.33333333333333298</v>
      </c>
      <c r="X10" s="15"/>
      <c r="Y10" s="15"/>
      <c r="Z10" s="15">
        <v>0.5625</v>
      </c>
      <c r="AA10" s="15">
        <v>0.33333333333333298</v>
      </c>
      <c r="AB10" s="15">
        <v>0.5625</v>
      </c>
      <c r="AC10" s="15">
        <v>0.33333333333333298</v>
      </c>
      <c r="AD10" s="15">
        <v>0.33333333333333298</v>
      </c>
      <c r="AE10" s="15"/>
      <c r="AF10" s="15"/>
      <c r="AG10" s="2"/>
      <c r="AH10" s="2"/>
    </row>
    <row r="11" spans="1:34" ht="13.65" customHeight="1" x14ac:dyDescent="0.15">
      <c r="A11" s="16" t="s">
        <v>16</v>
      </c>
      <c r="B11" s="17">
        <v>0.58333333333333304</v>
      </c>
      <c r="C11" s="17">
        <v>0.58333333333333304</v>
      </c>
      <c r="D11" s="17"/>
      <c r="E11" s="17">
        <v>0.58333333333333304</v>
      </c>
      <c r="F11" s="17">
        <v>0.83333333333333304</v>
      </c>
      <c r="G11" s="17">
        <v>0.60416666666666696</v>
      </c>
      <c r="H11" s="17">
        <v>0.83333333333333304</v>
      </c>
      <c r="I11" s="17">
        <v>0.60833333333333295</v>
      </c>
      <c r="J11" s="17"/>
      <c r="K11" s="17"/>
      <c r="L11" s="17">
        <v>0.83333333333333304</v>
      </c>
      <c r="M11" s="17">
        <v>0.60416666666666696</v>
      </c>
      <c r="N11" s="17">
        <v>0.83333333333333304</v>
      </c>
      <c r="O11" s="17">
        <v>0.60416666666666696</v>
      </c>
      <c r="P11" s="17">
        <v>0.58333333333333304</v>
      </c>
      <c r="Q11" s="17"/>
      <c r="R11" s="17"/>
      <c r="S11" s="17">
        <v>0.58333333333333304</v>
      </c>
      <c r="T11" s="17">
        <v>0.83333333333333304</v>
      </c>
      <c r="U11" s="17">
        <v>0.60416666666666696</v>
      </c>
      <c r="V11" s="17">
        <v>0.83333333333333304</v>
      </c>
      <c r="W11" s="17">
        <v>0.58333333333333304</v>
      </c>
      <c r="X11" s="17"/>
      <c r="Y11" s="17"/>
      <c r="Z11" s="17">
        <v>0.83333333333333304</v>
      </c>
      <c r="AA11" s="17">
        <v>0.60416666666666696</v>
      </c>
      <c r="AB11" s="17">
        <v>0.83333333333333304</v>
      </c>
      <c r="AC11" s="17">
        <v>0.60416666666666696</v>
      </c>
      <c r="AD11" s="17">
        <v>0.58333333333333304</v>
      </c>
      <c r="AE11" s="17"/>
      <c r="AF11" s="17"/>
      <c r="AG11" s="2"/>
      <c r="AH11" s="2"/>
    </row>
    <row r="12" spans="1:34" ht="15" customHeight="1" x14ac:dyDescent="0.15">
      <c r="A12" s="12" t="s">
        <v>32</v>
      </c>
      <c r="B12" s="13">
        <f t="shared" ref="B12:AF12" si="1">(B14-B13)</f>
        <v>0.31250000000000006</v>
      </c>
      <c r="C12" s="13">
        <f t="shared" si="1"/>
        <v>0.25000000000000006</v>
      </c>
      <c r="D12" s="13">
        <f t="shared" si="1"/>
        <v>0</v>
      </c>
      <c r="E12" s="13">
        <f t="shared" si="1"/>
        <v>0.33333333333333398</v>
      </c>
      <c r="F12" s="13">
        <f t="shared" si="1"/>
        <v>0.31250000000000006</v>
      </c>
      <c r="G12" s="13">
        <f t="shared" si="1"/>
        <v>0.33333333333333398</v>
      </c>
      <c r="H12" s="13">
        <f t="shared" si="1"/>
        <v>0.31250000000000006</v>
      </c>
      <c r="I12" s="13">
        <f t="shared" si="1"/>
        <v>0.31250000000000006</v>
      </c>
      <c r="J12" s="13">
        <f t="shared" si="1"/>
        <v>0</v>
      </c>
      <c r="K12" s="13">
        <f t="shared" si="1"/>
        <v>0</v>
      </c>
      <c r="L12" s="13">
        <f t="shared" si="1"/>
        <v>0.33333333333333398</v>
      </c>
      <c r="M12" s="13">
        <f t="shared" si="1"/>
        <v>0.31250000000000006</v>
      </c>
      <c r="N12" s="13">
        <f t="shared" si="1"/>
        <v>0.33333333333333398</v>
      </c>
      <c r="O12" s="13">
        <f t="shared" si="1"/>
        <v>0.31250000000000006</v>
      </c>
      <c r="P12" s="13">
        <f t="shared" si="1"/>
        <v>0.31250000000000006</v>
      </c>
      <c r="Q12" s="13">
        <f t="shared" si="1"/>
        <v>0</v>
      </c>
      <c r="R12" s="13">
        <f t="shared" si="1"/>
        <v>0</v>
      </c>
      <c r="S12" s="13">
        <f t="shared" si="1"/>
        <v>0.33333333333333398</v>
      </c>
      <c r="T12" s="13">
        <f t="shared" si="1"/>
        <v>0.31250000000000006</v>
      </c>
      <c r="U12" s="13">
        <f t="shared" si="1"/>
        <v>0.33333333333333398</v>
      </c>
      <c r="V12" s="13">
        <f t="shared" si="1"/>
        <v>0.31250000000000006</v>
      </c>
      <c r="W12" s="13">
        <f t="shared" si="1"/>
        <v>0.31250000000000006</v>
      </c>
      <c r="X12" s="13">
        <f t="shared" si="1"/>
        <v>0</v>
      </c>
      <c r="Y12" s="13">
        <f t="shared" si="1"/>
        <v>0</v>
      </c>
      <c r="Z12" s="13">
        <f t="shared" si="1"/>
        <v>0.33333333333333398</v>
      </c>
      <c r="AA12" s="13">
        <f t="shared" si="1"/>
        <v>0.31250000000000006</v>
      </c>
      <c r="AB12" s="13">
        <f t="shared" si="1"/>
        <v>0.32638888888888901</v>
      </c>
      <c r="AC12" s="13">
        <f t="shared" si="1"/>
        <v>0.31250000000000006</v>
      </c>
      <c r="AD12" s="13">
        <f t="shared" si="1"/>
        <v>0.31250000000000006</v>
      </c>
      <c r="AE12" s="13">
        <f t="shared" si="1"/>
        <v>0</v>
      </c>
      <c r="AF12" s="13">
        <f t="shared" si="1"/>
        <v>0</v>
      </c>
      <c r="AG12" s="2">
        <f>COUNTIF(B12:AF12,"&gt;0")</f>
        <v>22</v>
      </c>
      <c r="AH12" s="1">
        <v>168</v>
      </c>
    </row>
    <row r="13" spans="1:34" ht="15" customHeight="1" x14ac:dyDescent="0.15">
      <c r="A13" s="14" t="s">
        <v>31</v>
      </c>
      <c r="B13" s="15">
        <v>0.27083333333333298</v>
      </c>
      <c r="C13" s="15">
        <v>0.33333333333333298</v>
      </c>
      <c r="D13" s="15"/>
      <c r="E13" s="15">
        <v>0.27083333333333298</v>
      </c>
      <c r="F13" s="15">
        <v>0.27083333333333298</v>
      </c>
      <c r="G13" s="15">
        <v>0.27083333333333298</v>
      </c>
      <c r="H13" s="15">
        <v>0.27083333333333298</v>
      </c>
      <c r="I13" s="15">
        <v>0.27083333333333298</v>
      </c>
      <c r="J13" s="15"/>
      <c r="K13" s="15"/>
      <c r="L13" s="15">
        <v>0.27083333333333298</v>
      </c>
      <c r="M13" s="15">
        <v>0.27083333333333298</v>
      </c>
      <c r="N13" s="15">
        <v>0.27083333333333298</v>
      </c>
      <c r="O13" s="15">
        <v>0.27083333333333298</v>
      </c>
      <c r="P13" s="15">
        <v>0.27083333333333298</v>
      </c>
      <c r="Q13" s="15"/>
      <c r="R13" s="15"/>
      <c r="S13" s="15">
        <v>0.27083333333333298</v>
      </c>
      <c r="T13" s="15">
        <v>0.27083333333333298</v>
      </c>
      <c r="U13" s="15">
        <v>0.27083333333333298</v>
      </c>
      <c r="V13" s="15">
        <v>0.27083333333333298</v>
      </c>
      <c r="W13" s="15">
        <v>0.27083333333333298</v>
      </c>
      <c r="X13" s="15"/>
      <c r="Y13" s="15"/>
      <c r="Z13" s="15">
        <v>0.27083333333333298</v>
      </c>
      <c r="AA13" s="15">
        <v>0.27083333333333298</v>
      </c>
      <c r="AB13" s="15">
        <v>0.27083333333333298</v>
      </c>
      <c r="AC13" s="15">
        <v>0.27083333333333298</v>
      </c>
      <c r="AD13" s="15">
        <v>0.27083333333333298</v>
      </c>
      <c r="AE13" s="15"/>
      <c r="AF13" s="15"/>
      <c r="AG13" s="2"/>
      <c r="AH13" s="2"/>
    </row>
    <row r="14" spans="1:34" ht="15" customHeight="1" x14ac:dyDescent="0.15">
      <c r="A14" s="16" t="s">
        <v>16</v>
      </c>
      <c r="B14" s="17">
        <v>0.58333333333333304</v>
      </c>
      <c r="C14" s="17">
        <v>0.58333333333333304</v>
      </c>
      <c r="D14" s="17"/>
      <c r="E14" s="17">
        <v>0.60416666666666696</v>
      </c>
      <c r="F14" s="17">
        <v>0.58333333333333304</v>
      </c>
      <c r="G14" s="17">
        <v>0.60416666666666696</v>
      </c>
      <c r="H14" s="17">
        <v>0.58333333333333304</v>
      </c>
      <c r="I14" s="17">
        <v>0.58333333333333304</v>
      </c>
      <c r="J14" s="17"/>
      <c r="K14" s="17"/>
      <c r="L14" s="17">
        <v>0.60416666666666696</v>
      </c>
      <c r="M14" s="17">
        <v>0.58333333333333304</v>
      </c>
      <c r="N14" s="17">
        <v>0.60416666666666696</v>
      </c>
      <c r="O14" s="17">
        <v>0.58333333333333304</v>
      </c>
      <c r="P14" s="17">
        <v>0.58333333333333304</v>
      </c>
      <c r="Q14" s="17"/>
      <c r="R14" s="17"/>
      <c r="S14" s="17">
        <v>0.60416666666666696</v>
      </c>
      <c r="T14" s="17">
        <v>0.58333333333333304</v>
      </c>
      <c r="U14" s="17">
        <v>0.60416666666666696</v>
      </c>
      <c r="V14" s="17">
        <v>0.58333333333333304</v>
      </c>
      <c r="W14" s="17">
        <v>0.58333333333333304</v>
      </c>
      <c r="X14" s="17"/>
      <c r="Y14" s="17"/>
      <c r="Z14" s="17">
        <v>0.60416666666666696</v>
      </c>
      <c r="AA14" s="17">
        <v>0.58333333333333304</v>
      </c>
      <c r="AB14" s="17">
        <v>0.59722222222222199</v>
      </c>
      <c r="AC14" s="17">
        <v>0.58333333333333304</v>
      </c>
      <c r="AD14" s="17">
        <v>0.58333333333333304</v>
      </c>
      <c r="AE14" s="17"/>
      <c r="AF14" s="17"/>
      <c r="AG14" s="2"/>
      <c r="AH14" s="2"/>
    </row>
    <row r="15" spans="1:34" ht="15" customHeight="1" x14ac:dyDescent="0.15">
      <c r="A15" s="12" t="s">
        <v>33</v>
      </c>
      <c r="B15" s="13">
        <f t="shared" ref="B15:K15" si="2">(B17-B16)</f>
        <v>0</v>
      </c>
      <c r="C15" s="13">
        <f t="shared" si="2"/>
        <v>0</v>
      </c>
      <c r="D15" s="13">
        <f t="shared" si="2"/>
        <v>0</v>
      </c>
      <c r="E15" s="13">
        <f t="shared" si="2"/>
        <v>0</v>
      </c>
      <c r="F15" s="13">
        <f t="shared" si="2"/>
        <v>0.20138888888888895</v>
      </c>
      <c r="G15" s="13">
        <f t="shared" si="2"/>
        <v>0.20138888888888895</v>
      </c>
      <c r="H15" s="13">
        <f t="shared" si="2"/>
        <v>0.20138888888888895</v>
      </c>
      <c r="I15" s="13">
        <f t="shared" si="2"/>
        <v>0</v>
      </c>
      <c r="J15" s="13">
        <f t="shared" si="2"/>
        <v>0</v>
      </c>
      <c r="K15" s="13">
        <f t="shared" si="2"/>
        <v>0</v>
      </c>
      <c r="L15" s="13">
        <v>0.25</v>
      </c>
      <c r="M15" s="13">
        <f t="shared" ref="M15:AF15" si="3">(M17-M16)</f>
        <v>0.20138888888888895</v>
      </c>
      <c r="N15" s="13">
        <f t="shared" si="3"/>
        <v>9.4444444444443998E-2</v>
      </c>
      <c r="O15" s="13">
        <f t="shared" si="3"/>
        <v>0.20138888888888895</v>
      </c>
      <c r="P15" s="13">
        <f t="shared" si="3"/>
        <v>0</v>
      </c>
      <c r="Q15" s="13">
        <f t="shared" si="3"/>
        <v>0</v>
      </c>
      <c r="R15" s="13">
        <f t="shared" si="3"/>
        <v>0</v>
      </c>
      <c r="S15" s="13">
        <f t="shared" si="3"/>
        <v>0</v>
      </c>
      <c r="T15" s="13">
        <f t="shared" si="3"/>
        <v>0.20138888888888895</v>
      </c>
      <c r="U15" s="13">
        <f t="shared" si="3"/>
        <v>0.20138888888888895</v>
      </c>
      <c r="V15" s="13">
        <f t="shared" si="3"/>
        <v>0.20138888888888895</v>
      </c>
      <c r="W15" s="13">
        <f t="shared" si="3"/>
        <v>0</v>
      </c>
      <c r="X15" s="13">
        <f t="shared" si="3"/>
        <v>0</v>
      </c>
      <c r="Y15" s="13">
        <f t="shared" si="3"/>
        <v>0</v>
      </c>
      <c r="Z15" s="13">
        <f t="shared" si="3"/>
        <v>0</v>
      </c>
      <c r="AA15" s="13">
        <f t="shared" si="3"/>
        <v>0.20138888888888895</v>
      </c>
      <c r="AB15" s="13">
        <f t="shared" si="3"/>
        <v>0</v>
      </c>
      <c r="AC15" s="13">
        <f t="shared" si="3"/>
        <v>0.20138888888888895</v>
      </c>
      <c r="AD15" s="13">
        <f t="shared" si="3"/>
        <v>0</v>
      </c>
      <c r="AE15" s="13">
        <f t="shared" si="3"/>
        <v>0</v>
      </c>
      <c r="AF15" s="13">
        <f t="shared" si="3"/>
        <v>0</v>
      </c>
      <c r="AG15" s="2">
        <v>11</v>
      </c>
      <c r="AH15" s="1">
        <v>55.26</v>
      </c>
    </row>
    <row r="16" spans="1:34" ht="15" customHeight="1" x14ac:dyDescent="0.15">
      <c r="A16" s="14" t="s">
        <v>31</v>
      </c>
      <c r="B16" s="15"/>
      <c r="C16" s="15"/>
      <c r="D16" s="15"/>
      <c r="E16" s="15"/>
      <c r="F16" s="15">
        <v>0.625</v>
      </c>
      <c r="G16" s="15">
        <v>0.375</v>
      </c>
      <c r="H16" s="15">
        <v>0.58333333333333304</v>
      </c>
      <c r="I16" s="15"/>
      <c r="J16" s="15"/>
      <c r="K16" s="15"/>
      <c r="L16" s="15"/>
      <c r="M16" s="15">
        <v>0.625</v>
      </c>
      <c r="N16" s="15">
        <v>0.375</v>
      </c>
      <c r="O16" s="15">
        <v>0.58333333333333304</v>
      </c>
      <c r="P16" s="15"/>
      <c r="Q16" s="15"/>
      <c r="R16" s="15"/>
      <c r="S16" s="15"/>
      <c r="T16" s="15">
        <v>0.625</v>
      </c>
      <c r="U16" s="15">
        <v>0.375</v>
      </c>
      <c r="V16" s="15">
        <v>0.58333333333333304</v>
      </c>
      <c r="W16" s="15"/>
      <c r="X16" s="15"/>
      <c r="Y16" s="15"/>
      <c r="Z16" s="15"/>
      <c r="AA16" s="15">
        <v>0.625</v>
      </c>
      <c r="AB16" s="15"/>
      <c r="AC16" s="15">
        <v>0.58333333333333304</v>
      </c>
      <c r="AD16" s="15"/>
      <c r="AE16" s="15"/>
      <c r="AF16" s="15"/>
      <c r="AG16" s="2"/>
      <c r="AH16" s="2"/>
    </row>
    <row r="17" spans="1:34" ht="15" customHeight="1" x14ac:dyDescent="0.15">
      <c r="A17" s="16" t="s">
        <v>17</v>
      </c>
      <c r="B17" s="17"/>
      <c r="C17" s="17"/>
      <c r="D17" s="17"/>
      <c r="E17" s="17"/>
      <c r="F17" s="17">
        <v>0.82638888888888895</v>
      </c>
      <c r="G17" s="17">
        <v>0.57638888888888895</v>
      </c>
      <c r="H17" s="17">
        <v>0.78472222222222199</v>
      </c>
      <c r="I17" s="17"/>
      <c r="J17" s="17"/>
      <c r="K17" s="17"/>
      <c r="L17" s="17"/>
      <c r="M17" s="17">
        <v>0.82638888888888895</v>
      </c>
      <c r="N17" s="17">
        <v>0.469444444444444</v>
      </c>
      <c r="O17" s="17">
        <v>0.78472222222222199</v>
      </c>
      <c r="P17" s="17"/>
      <c r="Q17" s="17"/>
      <c r="R17" s="17"/>
      <c r="S17" s="17"/>
      <c r="T17" s="17">
        <v>0.82638888888888895</v>
      </c>
      <c r="U17" s="17">
        <v>0.57638888888888895</v>
      </c>
      <c r="V17" s="17">
        <v>0.78472222222222199</v>
      </c>
      <c r="W17" s="17"/>
      <c r="X17" s="17"/>
      <c r="Y17" s="17"/>
      <c r="Z17" s="17"/>
      <c r="AA17" s="17">
        <v>0.82638888888888895</v>
      </c>
      <c r="AB17" s="17"/>
      <c r="AC17" s="17">
        <v>0.78472222222222199</v>
      </c>
      <c r="AD17" s="17"/>
      <c r="AE17" s="17"/>
      <c r="AF17" s="17"/>
      <c r="AG17" s="2"/>
      <c r="AH17" s="2"/>
    </row>
    <row r="18" spans="1:34" ht="15" customHeight="1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spans="1:34" ht="15" customHeight="1" x14ac:dyDescent="0.3">
      <c r="A19" s="19" t="s">
        <v>18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20"/>
      <c r="AD19" s="20"/>
      <c r="AE19" s="20"/>
      <c r="AF19" s="20"/>
      <c r="AG19" s="20"/>
      <c r="AH19" s="20"/>
    </row>
    <row r="20" spans="1:34" ht="15" customHeight="1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20"/>
      <c r="AD20" s="20"/>
      <c r="AE20" s="20"/>
      <c r="AF20" s="20"/>
      <c r="AG20" s="9"/>
      <c r="AH20" s="9"/>
    </row>
    <row r="21" spans="1:34" ht="15" customHeight="1" x14ac:dyDescent="0.3">
      <c r="A21" s="19" t="s">
        <v>34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 t="s">
        <v>19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20"/>
      <c r="AD21" s="20"/>
      <c r="AE21" s="20"/>
      <c r="AF21" s="20"/>
      <c r="AG21" s="21"/>
      <c r="AH21" s="21"/>
    </row>
    <row r="22" spans="1:34" ht="15" customHeight="1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20"/>
      <c r="AD22" s="20"/>
      <c r="AE22" s="20"/>
      <c r="AF22" s="20"/>
      <c r="AG22" s="22"/>
      <c r="AH22" s="22"/>
    </row>
    <row r="23" spans="1:34" ht="15" customHeight="1" x14ac:dyDescent="0.3">
      <c r="A23" s="19"/>
      <c r="B23" s="19" t="s">
        <v>20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 t="s">
        <v>21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20"/>
      <c r="AD23" s="20"/>
      <c r="AE23" s="20"/>
      <c r="AF23" s="20"/>
      <c r="AG23" s="23"/>
      <c r="AH23" s="23"/>
    </row>
    <row r="24" spans="1:34" ht="11.85" customHeight="1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20"/>
      <c r="AD24" s="20"/>
      <c r="AE24" s="20"/>
      <c r="AF24" s="20"/>
      <c r="AG24" s="23"/>
      <c r="AH24" s="23"/>
    </row>
    <row r="25" spans="1:34" ht="13.8" x14ac:dyDescent="0.3">
      <c r="A25" s="19" t="s">
        <v>22</v>
      </c>
      <c r="B25" s="19" t="s">
        <v>23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 t="s">
        <v>24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20"/>
      <c r="AD25" s="20"/>
      <c r="AE25" s="20"/>
      <c r="AF25" s="20"/>
      <c r="AG25" s="22"/>
      <c r="AH25" s="22"/>
    </row>
    <row r="26" spans="1:34" ht="15" customHeight="1" x14ac:dyDescent="0.3">
      <c r="A26" s="19" t="s">
        <v>25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20"/>
      <c r="AD26" s="20"/>
      <c r="AE26" s="20"/>
      <c r="AF26" s="20"/>
      <c r="AG26" s="23"/>
      <c r="AH26" s="23"/>
    </row>
    <row r="27" spans="1:34" ht="15" customHeight="1" x14ac:dyDescent="0.3">
      <c r="A27" s="19" t="s">
        <v>26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 t="s">
        <v>27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20"/>
      <c r="AD27" s="20"/>
      <c r="AE27" s="20"/>
      <c r="AF27" s="20"/>
      <c r="AG27" s="23"/>
      <c r="AH27" s="23"/>
    </row>
    <row r="28" spans="1:34" ht="15" customHeight="1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20"/>
      <c r="AD28" s="20"/>
      <c r="AE28" s="20"/>
      <c r="AF28" s="20"/>
      <c r="AG28" s="22"/>
      <c r="AH28" s="22"/>
    </row>
    <row r="29" spans="1:34" ht="15" customHeight="1" x14ac:dyDescent="0.3">
      <c r="A29" s="24" t="s">
        <v>35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0"/>
      <c r="Y29" s="20"/>
      <c r="Z29" s="20"/>
      <c r="AA29" s="20"/>
      <c r="AB29" s="20"/>
      <c r="AC29" s="20"/>
      <c r="AD29" s="20"/>
      <c r="AE29" s="20"/>
      <c r="AF29" s="20"/>
      <c r="AG29" s="23"/>
      <c r="AH29" s="23"/>
    </row>
    <row r="30" spans="1:34" ht="15" customHeight="1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3"/>
      <c r="AH30" s="23"/>
    </row>
    <row r="31" spans="1:34" ht="15" customHeight="1" x14ac:dyDescent="0.3">
      <c r="A31" s="19" t="s">
        <v>18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20"/>
      <c r="AD31" s="20"/>
      <c r="AE31" s="20"/>
      <c r="AF31" s="20"/>
      <c r="AG31" s="20"/>
      <c r="AH31" s="20"/>
    </row>
    <row r="32" spans="1:34" ht="15" customHeight="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20"/>
      <c r="AD32" s="20"/>
      <c r="AE32" s="20"/>
      <c r="AF32" s="20"/>
      <c r="AG32" s="9"/>
      <c r="AH32" s="9"/>
    </row>
    <row r="33" ht="15" customHeight="1" x14ac:dyDescent="0.15"/>
    <row r="34" ht="6.6" x14ac:dyDescent="0.15"/>
    <row r="35" ht="6.6" x14ac:dyDescent="0.15"/>
    <row r="36" ht="6.6" x14ac:dyDescent="0.15"/>
    <row r="37" ht="6.6" x14ac:dyDescent="0.15"/>
    <row r="38" ht="6.6" x14ac:dyDescent="0.15"/>
    <row r="39" ht="6.6" x14ac:dyDescent="0.15"/>
    <row r="40" ht="16.2" customHeight="1" x14ac:dyDescent="0.15"/>
    <row r="41" ht="22.05" customHeight="1" x14ac:dyDescent="0.15"/>
    <row r="42" ht="14.1" customHeight="1" x14ac:dyDescent="0.15"/>
    <row r="43" ht="10.95" customHeight="1" x14ac:dyDescent="0.15"/>
    <row r="44" ht="16.2" customHeight="1" x14ac:dyDescent="0.15"/>
    <row r="45" ht="11.55" customHeight="1" x14ac:dyDescent="0.15"/>
    <row r="46" ht="16.8" customHeight="1" x14ac:dyDescent="0.15"/>
    <row r="1048574" ht="12.75" customHeight="1" x14ac:dyDescent="0.15"/>
    <row r="1048575" ht="12.75" customHeight="1" x14ac:dyDescent="0.15"/>
  </sheetData>
  <mergeCells count="14">
    <mergeCell ref="AG15:AG17"/>
    <mergeCell ref="AH15:AH17"/>
    <mergeCell ref="A5:X5"/>
    <mergeCell ref="AB5:AH5"/>
    <mergeCell ref="AG9:AG11"/>
    <mergeCell ref="AH9:AH11"/>
    <mergeCell ref="AG12:AG14"/>
    <mergeCell ref="AH12:AH14"/>
    <mergeCell ref="A2:X2"/>
    <mergeCell ref="AB2:AH2"/>
    <mergeCell ref="A3:X3"/>
    <mergeCell ref="AB3:AH3"/>
    <mergeCell ref="A4:X4"/>
    <mergeCell ref="AB4:AH4"/>
  </mergeCells>
  <pageMargins left="0.25" right="0.25" top="0.25" bottom="0.75" header="0.511811023622047" footer="0.511811023622047"/>
  <pageSetup paperSize="9" orientation="landscape" horizontalDpi="300" verticalDpi="300"/>
  <rowBreaks count="1" manualBreakCount="1">
    <brk id="32" max="16383" man="1"/>
  </rowBrea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user</cp:lastModifiedBy>
  <cp:revision>7</cp:revision>
  <cp:lastPrinted>2025-06-12T09:10:39Z</cp:lastPrinted>
  <dcterms:created xsi:type="dcterms:W3CDTF">2023-12-27T10:44:09Z</dcterms:created>
  <dcterms:modified xsi:type="dcterms:W3CDTF">2026-05-18T10:29:14Z</dcterms:modified>
  <dc:language>ru-RU</dc:language>
</cp:coreProperties>
</file>